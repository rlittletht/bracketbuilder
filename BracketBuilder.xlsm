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bbld\"/>
    </mc:Choice>
  </mc:AlternateContent>
  <xr:revisionPtr revIDLastSave="0" documentId="13_ncr:1_{D9D67E06-C170-4E12-949A-5BE6C34C19A9}" xr6:coauthVersionLast="47" xr6:coauthVersionMax="47" xr10:uidLastSave="{00000000-0000-0000-0000-000000000000}"/>
  <bookViews>
    <workbookView xWindow="-98" yWindow="-98" windowWidth="22695" windowHeight="14595" activeTab="3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/>
  <c r="G1" i="6"/>
  <c r="G28" i="6"/>
  <c r="V30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/>
  <c r="G5" i="6"/>
  <c r="M6" i="6"/>
  <c r="M5" i="6"/>
  <c r="P6" i="6"/>
  <c r="P5" i="6"/>
  <c r="S6" i="6"/>
  <c r="S5" i="6"/>
  <c r="V6" i="6"/>
  <c r="V5" i="6"/>
  <c r="Y6" i="6"/>
  <c r="Y5" i="6"/>
  <c r="AB6" i="6"/>
  <c r="AE6" i="6"/>
  <c r="AB5" i="6"/>
  <c r="AH6" i="6"/>
  <c r="AE5" i="6"/>
  <c r="AK6" i="6"/>
  <c r="AH5" i="6"/>
  <c r="AN6" i="6"/>
  <c r="AK5" i="6"/>
  <c r="AQ6" i="6"/>
  <c r="AN5" i="6"/>
  <c r="AT6" i="6"/>
  <c r="AT5" i="6"/>
  <c r="AQ5" i="6"/>
  <c r="D41" i="9" a="1"/>
  <c r="D29" i="9" a="1"/>
  <c r="D28" i="9" a="1"/>
  <c r="E20" i="9" a="1"/>
  <c r="D20" i="9" a="1"/>
  <c r="E40" i="9" a="1"/>
  <c r="D48" i="9" a="1"/>
  <c r="E46" i="9" a="1"/>
  <c r="D35" i="9" a="1"/>
  <c r="D44" i="9" a="1"/>
  <c r="C47" i="9" a="1"/>
  <c r="E23" i="9" a="1"/>
  <c r="E35" i="9" a="1"/>
  <c r="E11" i="9" a="1"/>
  <c r="E45" i="9" a="1"/>
  <c r="E50" i="9" a="1"/>
  <c r="D7" i="9" a="1"/>
  <c r="E18" i="9" a="1"/>
  <c r="D24" i="9" a="1"/>
  <c r="E24" i="9" a="1"/>
  <c r="E26" i="9" a="1"/>
  <c r="D27" i="9" a="1"/>
  <c r="E12" i="9" a="1"/>
  <c r="E27" i="9" a="1"/>
  <c r="C44" i="9" a="1"/>
  <c r="D53" i="9" a="1"/>
  <c r="D26" i="9" a="1"/>
  <c r="D38" i="9" a="1"/>
  <c r="C50" i="9" a="1"/>
  <c r="C41" i="9" a="1"/>
  <c r="D54" i="9" a="1"/>
  <c r="E48" i="9" a="1"/>
  <c r="C56" i="9" a="1"/>
  <c r="C51" i="9" a="1"/>
  <c r="E29" i="9" a="1"/>
  <c r="D49" i="9" a="1"/>
  <c r="D25" i="9" a="1"/>
  <c r="C48" i="9" a="1"/>
  <c r="C49" i="9" a="1"/>
  <c r="D30" i="9" a="1"/>
  <c r="D57" i="9" a="1"/>
  <c r="D33" i="9" a="1"/>
  <c r="D15" i="9" a="1"/>
  <c r="D36" i="9" a="1"/>
  <c r="D37" i="9" a="1"/>
  <c r="E30" i="9" a="1"/>
  <c r="E54" i="9" a="1"/>
  <c r="E44" i="9" a="1"/>
  <c r="D40" i="9" a="1"/>
  <c r="E38" i="9" a="1"/>
  <c r="D46" i="9" a="1"/>
  <c r="D47" i="9" a="1"/>
  <c r="E51" i="9" a="1"/>
  <c r="D13" i="9" a="1"/>
  <c r="C43" i="9" a="1"/>
  <c r="C38" i="9" a="1"/>
  <c r="E8" i="9" a="1"/>
  <c r="D39" i="9" a="1"/>
  <c r="D19" i="9" a="1"/>
  <c r="D56" i="9" a="1"/>
  <c r="E17" i="9" a="1"/>
  <c r="D50" i="9" a="1"/>
  <c r="E16" i="9" a="1"/>
  <c r="D21" i="9" a="1"/>
  <c r="C36" i="9" a="1"/>
  <c r="E41" i="9" a="1"/>
  <c r="E36" i="9" a="1"/>
  <c r="D31" i="9" a="1"/>
  <c r="D8" i="9" a="1"/>
  <c r="C39" i="9" a="1"/>
  <c r="E56" i="9" a="1"/>
  <c r="C34" i="9" a="1"/>
  <c r="C42" i="9" a="1"/>
  <c r="E19" i="9" a="1"/>
  <c r="E7" i="9" a="1"/>
  <c r="C55" i="9" a="1"/>
  <c r="D34" i="9" a="1"/>
  <c r="E47" i="9" a="1"/>
  <c r="E15" i="9" a="1"/>
  <c r="D23" i="9" a="1"/>
  <c r="D42" i="9" a="1"/>
  <c r="C54" i="9" a="1"/>
  <c r="D55" i="9" a="1"/>
  <c r="E9" i="9" a="1"/>
  <c r="D10" i="9" a="1"/>
  <c r="E39" i="9" a="1"/>
  <c r="E10" i="9" a="1"/>
  <c r="C52" i="9" a="1"/>
  <c r="C45" i="9" a="1"/>
  <c r="C37" i="9" a="1"/>
  <c r="D51" i="9" a="1"/>
  <c r="D22" i="9" a="1"/>
  <c r="C35" i="9" a="1"/>
  <c r="E28" i="9" a="1"/>
  <c r="C33" i="9" a="1"/>
  <c r="E25" i="9" a="1"/>
  <c r="D52" i="9" a="1"/>
  <c r="C40" i="9" a="1"/>
  <c r="E21" i="9" a="1"/>
  <c r="D43" i="9" a="1"/>
  <c r="D18" i="9" a="1"/>
  <c r="D45" i="9" a="1"/>
  <c r="E14" i="9" a="1"/>
  <c r="D17" i="9" a="1"/>
  <c r="E31" i="9" a="1"/>
  <c r="E52" i="9" a="1"/>
  <c r="E55" i="9" a="1"/>
  <c r="E49" i="9" a="1"/>
  <c r="E43" i="9" a="1"/>
  <c r="E53" i="9" a="1"/>
  <c r="D11" i="9" a="1"/>
  <c r="E13" i="9" a="1"/>
  <c r="E22" i="9" a="1"/>
  <c r="C46" i="9" a="1"/>
  <c r="E34" i="9" a="1"/>
  <c r="E37" i="9" a="1"/>
  <c r="D12" i="9" a="1"/>
  <c r="C53" i="9" a="1"/>
  <c r="D9" i="9" a="1"/>
  <c r="D14" i="9" a="1"/>
  <c r="E57" i="9" a="1"/>
  <c r="C57" i="9" a="1"/>
  <c r="D16" i="9" a="1"/>
  <c r="E33" i="9" a="1"/>
  <c r="E42" i="9" a="1"/>
  <c r="C45" i="9" l="1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<sst xmlns="http://schemas.openxmlformats.org/spreadsheetml/2006/main" count="638" uniqueCount="182">
  <si>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</si>
  <si>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</si>
  <si>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</si>
  <si>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</si>
  <si>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</si>
  <si>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</si>
  <si>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</si>
  <si>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</si>
  <si>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</si>
  <si>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</si>
  <si>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</si>
  <si>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</si>
  <si>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</si>
  <si>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</si>
  <si>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</si>
  <si>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</si>
  <si>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</si>
  <si>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</si>
  <si>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</si>
  <si>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</si>
  <si>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</si>
  <si>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</si>
  <si>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</si>
  <si>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</si>
  <si>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</si>
  <si>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</si>
  <si>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</si>
  <si>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</si>
  <si>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</si>
  <si>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</si>
  <si>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</si>
  <si>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</si>
  <si>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</si>
  <si>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</si>
  <si>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</si>
  <si>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</si>
  <si>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</si>
  <si>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</si>
  <si>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</si>
  <si>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</si>
  <si>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</si>
  <si>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</si>
  <si>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</si>
  <si>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</si>
  <si>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</si>
  <si>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</si>
  <si>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</si>
  <si>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</si>
  <si>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</si>
  <si>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</si>
  <si>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</si>
  <si>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</si>
  <si>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</si>
  <si>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</si>
  <si>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</si>
  <si>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</si>
  <si>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</si>
  <si>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</si>
  <si>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</si>
  <si>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</si>
  <si>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</si>
  <si>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</si>
  <si>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</si>
  <si>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</si>
  <si>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</si>
  <si>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</si>
  <si>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</si>
  <si>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</si>
  <si>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</si>
  <si>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</si>
  <si>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</si>
  <si>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</si>
  <si>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</si>
  <si>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</si>
  <si>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</si>
  <si>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</si>
  <si>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</si>
  <si>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</si>
  <si>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</si>
  <si>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</si>
  <si>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</si>
  <si>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</si>
  <si>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</si>
  <si>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</si>
  <si>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</si>
  <si>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</si>
  <si>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</si>
  <si>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</si>
  <si>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</si>
  <si>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</si>
  <si>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</si>
  <si>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</si>
  <si>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</si>
  <si>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</si>
  <si>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</si>
  <si>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</si>
  <si>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</si>
  <si>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</si>
  <si>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</si>
  <si>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</si>
  <si>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</si>
  <si>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</si>
  <si>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</si>
  <si>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</si>
  <si>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</si>
  <si>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</si>
  <si>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</si>
  <si>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</si>
  <si>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</si>
  <si>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</si>
  <si>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</si>
  <si>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</si>
  <si>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</si>
  <si>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</si>
  <si>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</si>
  <si>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</si>
  <si>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</si>
  <si>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</si>
  <si>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</si>
  <si>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</si>
  <si>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</si>
  <si>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</si>
  <si>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</si>
  <si>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</si>
  <si>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</si>
  <si>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</si>
  <si>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</si>
  <si>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</si>
  <si>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</si>
  <si>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</si>
  <si>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</si>
  <si>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</si>
  <si>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</si>
  <si>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</si>
  <si>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</si>
  <si>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</si>
  <si>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</si>
  <si>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</si>
  <si>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</si>
  <si>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</si>
  <si>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</si>
  <si>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</si>
  <si>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</si>
  <si>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</si>
  <si>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</si>
  <si>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</si>
  <si>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</si>
  <si>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</si>
  <si>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</si>
  <si>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</si>
  <si>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</si>
  <si>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</si>
  <si>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</si>
  <si>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</si>
  <si>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</si>
  <si>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</si>
  <si>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</si>
  <si>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</si>
  <si>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</si>
  <si>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</si>
  <si>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</si>
  <si>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</si>
  <si>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</si>
  <si>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</si>
  <si>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</si>
  <si>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</si>
  <si>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</si>
  <si>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</si>
  <si>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</si>
  <si>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</si>
  <si>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</si>
  <si>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</si>
  <si>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</si>
  <si>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</si>
  <si>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</si>
  <si>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</si>
  <si>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</si>
  <si>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</si>
  <si>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</si>
  <si>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</si>
  <si>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</si>
  <si>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Select Here and Build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</si>
</sst>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2" fillId="2" borderId="1"/>
    <xf numFmtId="0" fontId="2" fillId="0" borderId="2"/>
    <xf numFmtId="0" fontId="4" fillId="0" borderId="0">
      <alignment horizontal="right" vertical="center"/>
    </xf>
  </cellStyleXfs>
  <cellXfs count="22">
    <xf numFmtId="0" fontId="0" fillId="0" borderId="0" xfId="0"/>
    <xf numFmtId="0" fontId="0" fillId="0" borderId="0" xfId="0" applyFill="1"/>
    <xf numFmtId="0" fontId="3" fillId="0" borderId="0" xfId="0" applyFont="1"/>
    <xf numFmtId="164" fontId="0" fillId="0" borderId="0" xfId="0" applyNumberForma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/>
    <xf numFmtId="0" fontId="0" fillId="0" borderId="0" xfId="0" applyNumberForma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25</xdr:row>
      <xdr:rowOff>171938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621"/>
  <sheetViews>
    <sheetView showGridLines="0" zoomScale="160" zoomScaleNormal="160" workbookViewId="0">
      <selection activeCell="G2" sqref="G2"/>
    </sheetView>
  </sheetViews>
  <sheetFormatPr defaultRowHeight="14.25" x14ac:dyDescent="0.45"/>
  <cols>
    <col min="1" max="1" width="10.9296875" customWidth="1"/>
    <col min="2" max="2" width="0.265625" customWidth="1"/>
    <col min="3" max="3" width="18.53125" customWidth="1"/>
    <col min="4" max="4" width="3" customWidth="1"/>
    <col min="5" max="5" width="0.19921875" customWidth="1"/>
    <col min="7" max="7" width="18.53125" customWidth="1"/>
    <col min="8" max="8" width="3" customWidth="1"/>
    <col min="9" max="9" width="0.19921875" customWidth="1"/>
    <col min="10" max="10" width="18.53125" customWidth="1"/>
    <col min="11" max="11" width="3" customWidth="1"/>
    <col min="12" max="12" width="0.19921875" customWidth="1"/>
    <col min="13" max="13" width="18.53125" customWidth="1"/>
    <col min="14" max="14" width="3" customWidth="1"/>
    <col min="15" max="15" width="0.19921875" customWidth="1"/>
    <col min="16" max="16" width="18.53125" customWidth="1"/>
    <col min="17" max="17" width="3" customWidth="1"/>
    <col min="18" max="18" width="0.19921875" customWidth="1"/>
    <col min="19" max="19" width="18.53125" customWidth="1"/>
    <col min="20" max="20" width="3" customWidth="1"/>
    <col min="21" max="21" width="0.19921875" customWidth="1"/>
    <col min="22" max="22" width="18.53125" customWidth="1"/>
    <col min="23" max="23" width="3" customWidth="1"/>
    <col min="24" max="24" width="0.19921875" customWidth="1"/>
    <col min="25" max="25" width="18.53125" customWidth="1"/>
    <col min="26" max="26" width="3" customWidth="1"/>
    <col min="27" max="27" width="0.19921875" customWidth="1"/>
    <col min="28" max="28" width="18.53125" customWidth="1"/>
    <col min="29" max="29" width="3" customWidth="1"/>
    <col min="30" max="30" width="0.19921875" customWidth="1"/>
    <col min="31" max="31" width="18.53125" customWidth="1"/>
    <col min="32" max="32" width="3" customWidth="1"/>
    <col min="33" max="33" width="0.19921875" customWidth="1"/>
    <col min="34" max="34" width="18.53125" customWidth="1"/>
    <col min="35" max="35" width="3" customWidth="1"/>
    <col min="36" max="36" width="0.19921875" customWidth="1"/>
    <col min="37" max="37" width="18.53125" customWidth="1"/>
    <col min="38" max="38" width="3" customWidth="1"/>
    <col min="39" max="39" width="0.19921875" customWidth="1"/>
    <col min="40" max="40" width="18.53125" customWidth="1"/>
    <col min="41" max="41" width="3" customWidth="1"/>
    <col min="42" max="42" width="0.19921875" customWidth="1"/>
    <col min="43" max="43" width="18.53125" customWidth="1"/>
    <col min="44" max="44" width="3" customWidth="1"/>
    <col min="45" max="45" width="0.19921875" customWidth="1"/>
    <col min="46" max="46" width="18.53125" customWidth="1"/>
    <col min="47" max="47" width="3" customWidth="1"/>
    <col min="48" max="48" width="0.19921875" customWidth="1"/>
    <col min="49" max="49" width="18.53125" customWidth="1"/>
    <col min="50" max="50" width="3" customWidth="1"/>
    <col min="51" max="51" width="0.19921875" customWidth="1"/>
    <col min="52" max="52" width="18.53125" customWidth="1"/>
    <col min="53" max="53" width="3" customWidth="1"/>
    <col min="54" max="54" width="0.19921875" customWidth="1"/>
    <col min="55" max="55" width="18.53125" customWidth="1"/>
    <col min="56" max="56" width="3" customWidth="1"/>
    <col min="57" max="57" width="0.19921875" customWidth="1"/>
    <col min="58" max="58" width="18.53125" customWidth="1"/>
    <col min="59" max="59" width="3" customWidth="1"/>
    <col min="60" max="60" width="0.19921875" customWidth="1"/>
    <col min="61" max="61" width="18.53125" customWidth="1"/>
    <col min="62" max="62" width="3" customWidth="1"/>
    <col min="63" max="63" width="0.19921875" customWidth="1"/>
  </cols>
  <sheetData>
    <row r="1" spans="1:48" ht="33.4" x14ac:dyDescent="1">
      <c r="A1" t="s">
        <v>83</v>
      </c>
      <c r="G1" s="4" t="str">
        <f>TournamentTitle</f>
        <v>Tournament Title Line</v>
      </c>
    </row>
    <row r="2" spans="1:48" ht="33.4" x14ac:dyDescent="1">
      <c r="G2" s="4" t="str" cm="1">
        <f t="array" ref="G2">TournamentSubtitle</f>
        <v>Tournament SubTitle</v>
      </c>
    </row>
    <row r="3" spans="1:48" ht="33.4" x14ac:dyDescent="1">
      <c r="G3" s="4" t="str">
        <f>TournamentLocation</f>
        <v>Park Name</v>
      </c>
    </row>
    <row r="4" spans="1:48" ht="23.65" thickBot="1" x14ac:dyDescent="0.75">
      <c r="G4" s="5" t="str">
        <f>TournamentAddress</f>
        <v>Park Address, Somewhere, WA</v>
      </c>
    </row>
    <row r="5" spans="1:48" x14ac:dyDescent="0.45">
      <c r="G5" s="10" t="str">
        <f>TEXT(G6,"DDDD")</f>
        <v>Saturday</v>
      </c>
      <c r="H5" s="11"/>
      <c r="I5" s="12"/>
      <c r="J5" s="10" t="str">
        <f t="shared" ref="J5" si="0">TEXT(J6,"DDDD")</f>
        <v>Sunday</v>
      </c>
      <c r="K5" s="11"/>
      <c r="L5" s="12"/>
      <c r="M5" s="10" t="str">
        <f t="shared" ref="M5" si="1">TEXT(M6,"DDDD")</f>
        <v>Monday</v>
      </c>
      <c r="N5" s="11"/>
      <c r="O5" s="12"/>
      <c r="P5" s="10" t="str">
        <f t="shared" ref="P5" si="2">TEXT(P6,"DDDD")</f>
        <v>Tuesday</v>
      </c>
      <c r="Q5" s="11"/>
      <c r="R5" s="12"/>
      <c r="S5" s="10" t="str">
        <f t="shared" ref="S5" si="3">TEXT(S6,"DDDD")</f>
        <v>Wednesday</v>
      </c>
      <c r="T5" s="11"/>
      <c r="U5" s="12"/>
      <c r="V5" s="13" t="str">
        <f t="shared" ref="V5" si="4">TEXT(V6,"DDDD")</f>
        <v>Thursday</v>
      </c>
      <c r="W5" s="14"/>
      <c r="X5" s="15"/>
      <c r="Y5" s="10" t="str">
        <f t="shared" ref="Y5" si="5">TEXT(Y6,"DDDD")</f>
        <v>Friday</v>
      </c>
      <c r="Z5" s="11"/>
      <c r="AA5" s="12"/>
      <c r="AB5" s="10" t="str">
        <f t="shared" ref="AB5" si="6">TEXT(AB6,"DDDD")</f>
        <v>Saturday</v>
      </c>
      <c r="AC5" s="11"/>
      <c r="AD5" s="12"/>
      <c r="AE5" s="10" t="str">
        <f t="shared" ref="AE5" si="7">TEXT(AE6,"DDDD")</f>
        <v>Sunday</v>
      </c>
      <c r="AF5" s="11"/>
      <c r="AG5" s="12"/>
      <c r="AH5" s="10" t="str">
        <f t="shared" ref="AH5" si="8">TEXT(AH6,"DDDD")</f>
        <v>Monday</v>
      </c>
      <c r="AI5" s="11"/>
      <c r="AJ5" s="12"/>
      <c r="AK5" s="10" t="str">
        <f t="shared" ref="AK5" si="9">TEXT(AK6,"DDDD")</f>
        <v>Tuesday</v>
      </c>
      <c r="AL5" s="11"/>
      <c r="AM5" s="12"/>
      <c r="AN5" s="10" t="str">
        <f t="shared" ref="AN5" si="10">TEXT(AN6,"DDDD")</f>
        <v>Wednesday</v>
      </c>
      <c r="AO5" s="11"/>
      <c r="AP5" s="12"/>
      <c r="AQ5" s="10" t="str">
        <f t="shared" ref="AQ5" si="11">TEXT(AQ6,"DDDD")</f>
        <v>Thursday</v>
      </c>
      <c r="AR5" s="11"/>
      <c r="AS5" s="12"/>
      <c r="AT5" s="10" t="str">
        <f t="shared" ref="AT5" si="12">TEXT(AT6,"DDDD")</f>
        <v>Friday</v>
      </c>
      <c r="AU5" s="11"/>
      <c r="AV5" s="12"/>
    </row>
    <row r="6" spans="1:48" ht="14.65" thickBot="1" x14ac:dyDescent="0.5">
      <c r="G6" s="16">
        <v>43645</v>
      </c>
      <c r="H6" s="17"/>
      <c r="I6" s="18"/>
      <c r="J6" s="16">
        <f>G6+1</f>
        <v>43646</v>
      </c>
      <c r="K6" s="17"/>
      <c r="L6" s="18"/>
      <c r="M6" s="16">
        <f t="shared" ref="M6" si="13">J6+1</f>
        <v>43647</v>
      </c>
      <c r="N6" s="17"/>
      <c r="O6" s="18"/>
      <c r="P6" s="16">
        <f t="shared" ref="P6" si="14">M6+1</f>
        <v>43648</v>
      </c>
      <c r="Q6" s="17"/>
      <c r="R6" s="18"/>
      <c r="S6" s="16">
        <f t="shared" ref="S6" si="15">P6+1</f>
        <v>43649</v>
      </c>
      <c r="T6" s="17"/>
      <c r="U6" s="18"/>
      <c r="V6" s="19">
        <f t="shared" ref="V6" si="16">S6+1</f>
        <v>43650</v>
      </c>
      <c r="W6" s="20"/>
      <c r="X6" s="21"/>
      <c r="Y6" s="16">
        <f t="shared" ref="Y6" si="17">V6+1</f>
        <v>43651</v>
      </c>
      <c r="Z6" s="17"/>
      <c r="AA6" s="18"/>
      <c r="AB6" s="16">
        <f t="shared" ref="AB6" si="18">Y6+1</f>
        <v>43652</v>
      </c>
      <c r="AC6" s="17"/>
      <c r="AD6" s="18"/>
      <c r="AE6" s="16">
        <f t="shared" ref="AE6" si="19">AB6+1</f>
        <v>43653</v>
      </c>
      <c r="AF6" s="17"/>
      <c r="AG6" s="18"/>
      <c r="AH6" s="16">
        <f t="shared" ref="AH6" si="20">AE6+1</f>
        <v>43654</v>
      </c>
      <c r="AI6" s="17"/>
      <c r="AJ6" s="18"/>
      <c r="AK6" s="16">
        <f t="shared" ref="AK6" si="21">AH6+1</f>
        <v>43655</v>
      </c>
      <c r="AL6" s="17"/>
      <c r="AM6" s="18"/>
      <c r="AN6" s="16">
        <f t="shared" ref="AN6" si="22">AK6+1</f>
        <v>43656</v>
      </c>
      <c r="AO6" s="17"/>
      <c r="AP6" s="18"/>
      <c r="AQ6" s="16">
        <f t="shared" ref="AQ6" si="23">AN6+1</f>
        <v>43657</v>
      </c>
      <c r="AR6" s="17"/>
      <c r="AS6" s="18"/>
      <c r="AT6" s="16">
        <f t="shared" ref="AT6" si="24">AQ6+1</f>
        <v>43658</v>
      </c>
      <c r="AU6" s="17"/>
      <c r="AV6" s="18"/>
    </row>
    <row r="7" spans="1:48" ht="14.65" thickTop="1" x14ac:dyDescent="0.45"/>
    <row r="8" spans="1:48" x14ac:dyDescent="0.45">
      <c r="C8" t="s">
        <v>181</v>
      </c>
    </row>
    <row r="9" spans="1:48" ht="0.75" customHeight="1" x14ac:dyDescent="0.45"/>
    <row r="11" spans="1:48" ht="0.75" customHeight="1" x14ac:dyDescent="0.45"/>
    <row r="13" spans="1:48" ht="0.75" customHeight="1" x14ac:dyDescent="0.45">
      <c r="G13" s="1"/>
    </row>
    <row r="15" spans="1:48" ht="0.75" customHeight="1" x14ac:dyDescent="0.45"/>
    <row r="17" spans="7:22" ht="0.75" customHeight="1" x14ac:dyDescent="0.45"/>
    <row r="19" spans="7:22" ht="0.75" customHeight="1" x14ac:dyDescent="0.45"/>
    <row r="21" spans="7:22" ht="0.75" customHeight="1" x14ac:dyDescent="0.45"/>
    <row r="23" spans="7:22" ht="0.75" customHeight="1" x14ac:dyDescent="0.45"/>
    <row r="25" spans="7:22" ht="0.75" customHeight="1" x14ac:dyDescent="0.45"/>
    <row r="27" spans="7:22" ht="0.75" customHeight="1" x14ac:dyDescent="0.45"/>
    <row r="28" spans="7:22" ht="14.55" customHeight="1" x14ac:dyDescent="0.55000000000000004">
      <c r="G28" s="6" t="str">
        <f>"Hosted by " &amp; TournamentHost</f>
        <v>Hosted by Hosted By SomeLeague, Somewhere</v>
      </c>
    </row>
    <row r="29" spans="7:22" ht="0.75" customHeight="1" x14ac:dyDescent="0.45"/>
    <row r="30" spans="7:22" x14ac:dyDescent="0.45">
      <c r="V30" s="7" t="str">
        <f>LastUpdate</f>
        <v>Last Updated: 1/1/2002 9:12 AM</v>
      </c>
    </row>
    <row r="31" spans="7:22" ht="0.75" customHeight="1" x14ac:dyDescent="0.45"/>
    <row r="33" ht="0.75" customHeight="1" x14ac:dyDescent="0.45"/>
    <row r="35" ht="0.75" customHeight="1" x14ac:dyDescent="0.45"/>
    <row r="37" ht="0.75" customHeight="1" x14ac:dyDescent="0.45"/>
    <row r="39" ht="0.75" customHeight="1" x14ac:dyDescent="0.45"/>
    <row r="41" ht="0.75" customHeight="1" x14ac:dyDescent="0.45"/>
    <row r="43" ht="0.75" customHeight="1" x14ac:dyDescent="0.45"/>
    <row r="45" ht="0.75" customHeight="1" x14ac:dyDescent="0.45"/>
    <row r="47" ht="0.75" customHeight="1" x14ac:dyDescent="0.45"/>
    <row r="49" ht="0.75" customHeight="1" x14ac:dyDescent="0.45"/>
    <row r="51" ht="0.75" customHeight="1" x14ac:dyDescent="0.45"/>
    <row r="53" ht="0.75" customHeight="1" x14ac:dyDescent="0.45"/>
    <row r="55" ht="0.75" customHeight="1" x14ac:dyDescent="0.45"/>
    <row r="57" ht="0.75" customHeight="1" x14ac:dyDescent="0.45"/>
    <row r="59" ht="0.75" customHeight="1" x14ac:dyDescent="0.45"/>
    <row r="61" ht="0.75" customHeight="1" x14ac:dyDescent="0.45"/>
    <row r="63" ht="0.75" customHeight="1" x14ac:dyDescent="0.45"/>
    <row r="65" ht="0.75" customHeight="1" x14ac:dyDescent="0.45"/>
    <row r="67" ht="0.75" customHeight="1" x14ac:dyDescent="0.45"/>
    <row r="69" ht="0.75" customHeight="1" x14ac:dyDescent="0.45"/>
    <row r="71" ht="0.75" customHeight="1" x14ac:dyDescent="0.45"/>
    <row r="73" ht="0.75" customHeight="1" x14ac:dyDescent="0.45"/>
    <row r="75" ht="0.75" customHeight="1" x14ac:dyDescent="0.45"/>
    <row r="77" ht="0.75" customHeight="1" x14ac:dyDescent="0.45"/>
    <row r="79" ht="0.75" customHeight="1" x14ac:dyDescent="0.45"/>
    <row r="81" ht="0.75" customHeight="1" x14ac:dyDescent="0.45"/>
    <row r="83" ht="0.75" customHeight="1" x14ac:dyDescent="0.45"/>
    <row r="85" ht="0.75" customHeight="1" x14ac:dyDescent="0.45"/>
    <row r="87" ht="0.75" customHeight="1" x14ac:dyDescent="0.45"/>
    <row r="89" ht="0.75" customHeight="1" x14ac:dyDescent="0.45"/>
    <row r="91" ht="0.75" customHeight="1" x14ac:dyDescent="0.45"/>
    <row r="93" ht="0.75" customHeight="1" x14ac:dyDescent="0.45"/>
    <row r="95" ht="0.75" customHeight="1" x14ac:dyDescent="0.45"/>
    <row r="97" ht="0.75" customHeight="1" x14ac:dyDescent="0.45"/>
    <row r="99" ht="0.75" customHeight="1" x14ac:dyDescent="0.45"/>
    <row r="101" ht="0.75" customHeight="1" x14ac:dyDescent="0.45"/>
    <row r="103" ht="0.75" customHeight="1" x14ac:dyDescent="0.45"/>
    <row r="105" ht="0.75" customHeight="1" x14ac:dyDescent="0.45"/>
    <row r="107" ht="0.75" customHeight="1" x14ac:dyDescent="0.45"/>
    <row r="109" ht="0.75" customHeight="1" x14ac:dyDescent="0.45"/>
    <row r="111" ht="0.75" customHeight="1" x14ac:dyDescent="0.45"/>
    <row r="113" ht="0.75" customHeight="1" x14ac:dyDescent="0.45"/>
    <row r="115" ht="0.75" customHeight="1" x14ac:dyDescent="0.45"/>
    <row r="117" ht="0.75" customHeight="1" x14ac:dyDescent="0.45"/>
    <row r="119" ht="0.75" customHeight="1" x14ac:dyDescent="0.45"/>
    <row r="121" ht="0.75" customHeight="1" x14ac:dyDescent="0.45"/>
    <row r="123" ht="0.75" customHeight="1" x14ac:dyDescent="0.45"/>
    <row r="125" ht="0.75" customHeight="1" x14ac:dyDescent="0.45"/>
    <row r="127" ht="0.75" customHeight="1" x14ac:dyDescent="0.45"/>
    <row r="129" ht="0.75" customHeight="1" x14ac:dyDescent="0.45"/>
    <row r="131" ht="0.75" customHeight="1" x14ac:dyDescent="0.45"/>
    <row r="133" ht="0.75" customHeight="1" x14ac:dyDescent="0.45"/>
    <row r="135" ht="0.75" customHeight="1" x14ac:dyDescent="0.45"/>
    <row r="137" ht="0.75" customHeight="1" x14ac:dyDescent="0.45"/>
    <row r="139" ht="0.75" customHeight="1" x14ac:dyDescent="0.45"/>
    <row r="141" ht="0.75" customHeight="1" x14ac:dyDescent="0.45"/>
    <row r="143" ht="0.75" customHeight="1" x14ac:dyDescent="0.45"/>
    <row r="145" ht="0.75" customHeight="1" x14ac:dyDescent="0.45"/>
    <row r="147" ht="0.75" customHeight="1" x14ac:dyDescent="0.45"/>
    <row r="149" ht="0.75" customHeight="1" x14ac:dyDescent="0.45"/>
    <row r="151" ht="0.75" customHeight="1" x14ac:dyDescent="0.45"/>
    <row r="153" ht="0.75" customHeight="1" x14ac:dyDescent="0.45"/>
    <row r="155" ht="0.75" customHeight="1" x14ac:dyDescent="0.45"/>
    <row r="157" ht="0.75" customHeight="1" x14ac:dyDescent="0.45"/>
    <row r="159" ht="0.75" customHeight="1" x14ac:dyDescent="0.45"/>
    <row r="161" ht="0.75" customHeight="1" x14ac:dyDescent="0.45"/>
    <row r="163" ht="0.75" customHeight="1" x14ac:dyDescent="0.45"/>
    <row r="165" ht="0.75" customHeight="1" x14ac:dyDescent="0.45"/>
    <row r="167" ht="0.75" customHeight="1" x14ac:dyDescent="0.45"/>
    <row r="169" ht="0.75" customHeight="1" x14ac:dyDescent="0.45"/>
    <row r="171" ht="0.75" customHeight="1" x14ac:dyDescent="0.45"/>
    <row r="173" ht="0.75" customHeight="1" x14ac:dyDescent="0.45"/>
    <row r="175" ht="0.75" customHeight="1" x14ac:dyDescent="0.45"/>
    <row r="177" ht="0.75" customHeight="1" x14ac:dyDescent="0.45"/>
    <row r="179" ht="0.75" customHeight="1" x14ac:dyDescent="0.45"/>
    <row r="181" ht="0.75" customHeight="1" x14ac:dyDescent="0.45"/>
    <row r="183" ht="0.75" customHeight="1" x14ac:dyDescent="0.45"/>
    <row r="185" ht="0.75" customHeight="1" x14ac:dyDescent="0.45"/>
    <row r="187" ht="0.75" customHeight="1" x14ac:dyDescent="0.45"/>
    <row r="189" ht="0.75" customHeight="1" x14ac:dyDescent="0.45"/>
    <row r="191" ht="0.75" customHeight="1" x14ac:dyDescent="0.45"/>
    <row r="193" ht="0.75" customHeight="1" x14ac:dyDescent="0.45"/>
    <row r="195" ht="0.75" customHeight="1" x14ac:dyDescent="0.45"/>
    <row r="197" ht="0.75" customHeight="1" x14ac:dyDescent="0.45"/>
    <row r="199" ht="0.75" customHeight="1" x14ac:dyDescent="0.45"/>
    <row r="201" ht="0.75" customHeight="1" x14ac:dyDescent="0.45"/>
    <row r="203" ht="0.75" customHeight="1" x14ac:dyDescent="0.45"/>
    <row r="205" ht="0.75" customHeight="1" x14ac:dyDescent="0.45"/>
    <row r="207" ht="0.75" customHeight="1" x14ac:dyDescent="0.45"/>
    <row r="209" ht="0.75" customHeight="1" x14ac:dyDescent="0.45"/>
    <row r="211" ht="0.75" customHeight="1" x14ac:dyDescent="0.45"/>
    <row r="213" ht="0.75" customHeight="1" x14ac:dyDescent="0.45"/>
    <row r="215" ht="0.75" customHeight="1" x14ac:dyDescent="0.45"/>
    <row r="217" ht="0.75" customHeight="1" x14ac:dyDescent="0.45"/>
    <row r="219" ht="0.75" customHeight="1" x14ac:dyDescent="0.45"/>
    <row r="221" ht="0.75" customHeight="1" x14ac:dyDescent="0.45"/>
    <row r="223" ht="0.75" customHeight="1" x14ac:dyDescent="0.45"/>
    <row r="225" ht="0.75" customHeight="1" x14ac:dyDescent="0.45"/>
    <row r="227" ht="0.75" customHeight="1" x14ac:dyDescent="0.45"/>
    <row r="229" ht="0.75" customHeight="1" x14ac:dyDescent="0.45"/>
    <row r="231" ht="0.75" customHeight="1" x14ac:dyDescent="0.45"/>
    <row r="233" ht="0.75" customHeight="1" x14ac:dyDescent="0.45"/>
    <row r="235" ht="0.75" customHeight="1" x14ac:dyDescent="0.45"/>
    <row r="237" ht="0.75" customHeight="1" x14ac:dyDescent="0.45"/>
    <row r="239" ht="0.75" customHeight="1" x14ac:dyDescent="0.45"/>
    <row r="241" ht="0.75" customHeight="1" x14ac:dyDescent="0.45"/>
    <row r="243" ht="0.75" customHeight="1" x14ac:dyDescent="0.45"/>
    <row r="245" ht="0.75" customHeight="1" x14ac:dyDescent="0.45"/>
    <row r="247" ht="0.75" customHeight="1" x14ac:dyDescent="0.45"/>
    <row r="249" ht="0.75" customHeight="1" x14ac:dyDescent="0.45"/>
    <row r="251" ht="0.75" customHeight="1" x14ac:dyDescent="0.45"/>
    <row r="253" ht="0.75" customHeight="1" x14ac:dyDescent="0.45"/>
    <row r="255" ht="0.75" customHeight="1" x14ac:dyDescent="0.45"/>
    <row r="257" ht="0.75" customHeight="1" x14ac:dyDescent="0.45"/>
    <row r="259" ht="0.75" customHeight="1" x14ac:dyDescent="0.45"/>
    <row r="261" ht="0.75" customHeight="1" x14ac:dyDescent="0.45"/>
    <row r="263" ht="0.75" customHeight="1" x14ac:dyDescent="0.45"/>
    <row r="265" ht="0.75" customHeight="1" x14ac:dyDescent="0.45"/>
    <row r="267" ht="0.75" customHeight="1" x14ac:dyDescent="0.45"/>
    <row r="269" ht="0.75" customHeight="1" x14ac:dyDescent="0.45"/>
    <row r="271" ht="0.75" customHeight="1" x14ac:dyDescent="0.45"/>
    <row r="273" ht="0.75" customHeight="1" x14ac:dyDescent="0.45"/>
    <row r="275" ht="0.75" customHeight="1" x14ac:dyDescent="0.45"/>
    <row r="277" ht="0.75" customHeight="1" x14ac:dyDescent="0.45"/>
    <row r="279" ht="0.75" customHeight="1" x14ac:dyDescent="0.45"/>
    <row r="281" ht="0.75" customHeight="1" x14ac:dyDescent="0.45"/>
    <row r="283" ht="0.75" customHeight="1" x14ac:dyDescent="0.45"/>
    <row r="285" ht="0.75" customHeight="1" x14ac:dyDescent="0.45"/>
    <row r="287" ht="0.75" customHeight="1" x14ac:dyDescent="0.45"/>
    <row r="289" ht="0.75" customHeight="1" x14ac:dyDescent="0.45"/>
    <row r="291" ht="0.75" customHeight="1" x14ac:dyDescent="0.45"/>
    <row r="293" ht="0.75" customHeight="1" x14ac:dyDescent="0.45"/>
    <row r="295" ht="0.75" customHeight="1" x14ac:dyDescent="0.45"/>
    <row r="297" ht="0.75" customHeight="1" x14ac:dyDescent="0.45"/>
    <row r="299" ht="0.75" customHeight="1" x14ac:dyDescent="0.45"/>
    <row r="301" ht="0.75" customHeight="1" x14ac:dyDescent="0.45"/>
    <row r="303" ht="0.75" customHeight="1" x14ac:dyDescent="0.45"/>
    <row r="305" ht="0.75" customHeight="1" x14ac:dyDescent="0.45"/>
    <row r="307" ht="0.75" customHeight="1" x14ac:dyDescent="0.45"/>
    <row r="309" ht="0.75" customHeight="1" x14ac:dyDescent="0.45"/>
    <row r="311" ht="0.75" customHeight="1" x14ac:dyDescent="0.45"/>
    <row r="313" ht="0.75" customHeight="1" x14ac:dyDescent="0.45"/>
    <row r="315" ht="0.75" customHeight="1" x14ac:dyDescent="0.45"/>
    <row r="317" ht="0.75" customHeight="1" x14ac:dyDescent="0.45"/>
    <row r="319" ht="0.75" customHeight="1" x14ac:dyDescent="0.45"/>
    <row r="321" ht="0.75" customHeight="1" x14ac:dyDescent="0.45"/>
    <row r="323" ht="0.75" customHeight="1" x14ac:dyDescent="0.45"/>
    <row r="325" ht="0.75" customHeight="1" x14ac:dyDescent="0.45"/>
    <row r="327" ht="0.75" customHeight="1" x14ac:dyDescent="0.45"/>
    <row r="329" ht="0.75" customHeight="1" x14ac:dyDescent="0.45"/>
    <row r="331" ht="0.75" customHeight="1" x14ac:dyDescent="0.45"/>
    <row r="333" ht="0.75" customHeight="1" x14ac:dyDescent="0.45"/>
    <row r="335" ht="0.75" customHeight="1" x14ac:dyDescent="0.45"/>
    <row r="337" ht="0.75" customHeight="1" x14ac:dyDescent="0.45"/>
    <row r="339" ht="0.75" customHeight="1" x14ac:dyDescent="0.45"/>
    <row r="341" ht="0.75" customHeight="1" x14ac:dyDescent="0.45"/>
    <row r="343" ht="0.75" customHeight="1" x14ac:dyDescent="0.45"/>
    <row r="345" ht="0.75" customHeight="1" x14ac:dyDescent="0.45"/>
    <row r="347" ht="0.75" customHeight="1" x14ac:dyDescent="0.45"/>
    <row r="349" ht="0.75" customHeight="1" x14ac:dyDescent="0.45"/>
    <row r="351" ht="0.75" customHeight="1" x14ac:dyDescent="0.45"/>
    <row r="353" ht="0.75" customHeight="1" x14ac:dyDescent="0.45"/>
    <row r="355" ht="0.75" customHeight="1" x14ac:dyDescent="0.45"/>
    <row r="357" ht="0.75" customHeight="1" x14ac:dyDescent="0.45"/>
    <row r="359" ht="0.75" customHeight="1" x14ac:dyDescent="0.45"/>
    <row r="361" ht="0.75" customHeight="1" x14ac:dyDescent="0.45"/>
    <row r="363" ht="0.75" customHeight="1" x14ac:dyDescent="0.45"/>
    <row r="365" ht="0.75" customHeight="1" x14ac:dyDescent="0.45"/>
    <row r="367" ht="0.75" customHeight="1" x14ac:dyDescent="0.45"/>
    <row r="369" ht="0.75" customHeight="1" x14ac:dyDescent="0.45"/>
    <row r="371" ht="0.75" customHeight="1" x14ac:dyDescent="0.45"/>
    <row r="373" ht="0.75" customHeight="1" x14ac:dyDescent="0.45"/>
    <row r="375" ht="0.75" customHeight="1" x14ac:dyDescent="0.45"/>
    <row r="377" ht="0.75" customHeight="1" x14ac:dyDescent="0.45"/>
    <row r="379" ht="0.75" customHeight="1" x14ac:dyDescent="0.45"/>
    <row r="381" ht="0.75" customHeight="1" x14ac:dyDescent="0.45"/>
    <row r="383" ht="0.75" customHeight="1" x14ac:dyDescent="0.45"/>
    <row r="385" ht="0.75" customHeight="1" x14ac:dyDescent="0.45"/>
    <row r="387" ht="0.75" customHeight="1" x14ac:dyDescent="0.45"/>
    <row r="389" ht="0.75" customHeight="1" x14ac:dyDescent="0.45"/>
    <row r="391" ht="0.75" customHeight="1" x14ac:dyDescent="0.45"/>
    <row r="393" ht="0.75" customHeight="1" x14ac:dyDescent="0.45"/>
    <row r="395" ht="0.75" customHeight="1" x14ac:dyDescent="0.45"/>
    <row r="397" ht="0.75" customHeight="1" x14ac:dyDescent="0.45"/>
    <row r="399" ht="0.75" customHeight="1" x14ac:dyDescent="0.45"/>
    <row r="401" ht="0.75" customHeight="1" x14ac:dyDescent="0.45"/>
    <row r="403" ht="0.75" customHeight="1" x14ac:dyDescent="0.45"/>
    <row r="405" ht="0.75" customHeight="1" x14ac:dyDescent="0.45"/>
    <row r="407" ht="0.75" customHeight="1" x14ac:dyDescent="0.45"/>
    <row r="409" ht="0.75" customHeight="1" x14ac:dyDescent="0.45"/>
    <row r="411" ht="0.75" customHeight="1" x14ac:dyDescent="0.45"/>
    <row r="413" ht="0.75" customHeight="1" x14ac:dyDescent="0.45"/>
    <row r="415" ht="0.75" customHeight="1" x14ac:dyDescent="0.45"/>
    <row r="417" ht="0.75" customHeight="1" x14ac:dyDescent="0.45"/>
    <row r="419" ht="0.75" customHeight="1" x14ac:dyDescent="0.45"/>
    <row r="421" ht="0.75" customHeight="1" x14ac:dyDescent="0.45"/>
    <row r="423" ht="0.75" customHeight="1" x14ac:dyDescent="0.45"/>
    <row r="425" ht="0.75" customHeight="1" x14ac:dyDescent="0.45"/>
    <row r="427" ht="0.75" customHeight="1" x14ac:dyDescent="0.45"/>
    <row r="429" ht="0.75" customHeight="1" x14ac:dyDescent="0.45"/>
    <row r="431" ht="0.75" customHeight="1" x14ac:dyDescent="0.45"/>
    <row r="433" ht="0.75" customHeight="1" x14ac:dyDescent="0.45"/>
    <row r="435" ht="0.75" customHeight="1" x14ac:dyDescent="0.45"/>
    <row r="437" ht="0.75" customHeight="1" x14ac:dyDescent="0.45"/>
    <row r="439" ht="0.75" customHeight="1" x14ac:dyDescent="0.45"/>
    <row r="441" ht="0.75" customHeight="1" x14ac:dyDescent="0.45"/>
    <row r="443" ht="0.75" customHeight="1" x14ac:dyDescent="0.45"/>
    <row r="445" ht="0.75" customHeight="1" x14ac:dyDescent="0.45"/>
    <row r="447" ht="0.75" customHeight="1" x14ac:dyDescent="0.45"/>
    <row r="449" ht="0.75" customHeight="1" x14ac:dyDescent="0.45"/>
    <row r="451" ht="0.75" customHeight="1" x14ac:dyDescent="0.45"/>
    <row r="453" ht="0.75" customHeight="1" x14ac:dyDescent="0.45"/>
    <row r="455" ht="0.75" customHeight="1" x14ac:dyDescent="0.45"/>
    <row r="457" ht="0.75" customHeight="1" x14ac:dyDescent="0.45"/>
    <row r="459" ht="0.75" customHeight="1" x14ac:dyDescent="0.45"/>
    <row r="461" ht="0.75" customHeight="1" x14ac:dyDescent="0.45"/>
    <row r="463" ht="0.75" customHeight="1" x14ac:dyDescent="0.45"/>
    <row r="465" ht="0.75" customHeight="1" x14ac:dyDescent="0.45"/>
    <row r="467" ht="0.75" customHeight="1" x14ac:dyDescent="0.45"/>
    <row r="469" ht="0.75" customHeight="1" x14ac:dyDescent="0.45"/>
    <row r="471" ht="0.75" customHeight="1" x14ac:dyDescent="0.45"/>
    <row r="473" ht="0.75" customHeight="1" x14ac:dyDescent="0.45"/>
    <row r="475" ht="0.75" customHeight="1" x14ac:dyDescent="0.45"/>
    <row r="477" ht="0.75" customHeight="1" x14ac:dyDescent="0.45"/>
    <row r="479" ht="0.75" customHeight="1" x14ac:dyDescent="0.45"/>
    <row r="481" ht="0.75" customHeight="1" x14ac:dyDescent="0.45"/>
    <row r="483" ht="0.75" customHeight="1" x14ac:dyDescent="0.45"/>
    <row r="485" ht="0.75" customHeight="1" x14ac:dyDescent="0.45"/>
    <row r="487" ht="0.75" customHeight="1" x14ac:dyDescent="0.45"/>
    <row r="489" ht="0.75" customHeight="1" x14ac:dyDescent="0.45"/>
    <row r="491" ht="0.75" customHeight="1" x14ac:dyDescent="0.45"/>
    <row r="493" ht="0.75" customHeight="1" x14ac:dyDescent="0.45"/>
    <row r="495" ht="0.75" customHeight="1" x14ac:dyDescent="0.45"/>
    <row r="497" ht="0.75" customHeight="1" x14ac:dyDescent="0.45"/>
    <row r="499" ht="0.75" customHeight="1" x14ac:dyDescent="0.45"/>
    <row r="501" ht="0.75" customHeight="1" x14ac:dyDescent="0.45"/>
    <row r="503" ht="0.75" customHeight="1" x14ac:dyDescent="0.45"/>
    <row r="505" ht="0.75" customHeight="1" x14ac:dyDescent="0.45"/>
    <row r="507" ht="0.75" customHeight="1" x14ac:dyDescent="0.45"/>
    <row r="509" ht="0.75" customHeight="1" x14ac:dyDescent="0.45"/>
    <row r="511" ht="0.75" customHeight="1" x14ac:dyDescent="0.45"/>
    <row r="513" ht="0.75" customHeight="1" x14ac:dyDescent="0.45"/>
    <row r="515" ht="0.75" customHeight="1" x14ac:dyDescent="0.45"/>
    <row r="517" ht="0.75" customHeight="1" x14ac:dyDescent="0.45"/>
    <row r="519" ht="0.75" customHeight="1" x14ac:dyDescent="0.45"/>
    <row r="521" ht="0.75" customHeight="1" x14ac:dyDescent="0.45"/>
    <row r="523" ht="0.75" customHeight="1" x14ac:dyDescent="0.45"/>
    <row r="525" ht="0.75" customHeight="1" x14ac:dyDescent="0.45"/>
    <row r="527" ht="0.75" customHeight="1" x14ac:dyDescent="0.45"/>
    <row r="529" ht="0.75" customHeight="1" x14ac:dyDescent="0.45"/>
    <row r="531" ht="0.75" customHeight="1" x14ac:dyDescent="0.45"/>
    <row r="533" ht="0.75" customHeight="1" x14ac:dyDescent="0.45"/>
    <row r="535" ht="0.75" customHeight="1" x14ac:dyDescent="0.45"/>
    <row r="537" ht="0.75" customHeight="1" x14ac:dyDescent="0.45"/>
    <row r="539" ht="0.75" customHeight="1" x14ac:dyDescent="0.45"/>
    <row r="541" ht="0.75" customHeight="1" x14ac:dyDescent="0.45"/>
    <row r="543" ht="0.75" customHeight="1" x14ac:dyDescent="0.45"/>
    <row r="545" ht="0.75" customHeight="1" x14ac:dyDescent="0.45"/>
    <row r="547" ht="0.75" customHeight="1" x14ac:dyDescent="0.45"/>
    <row r="549" ht="0.75" customHeight="1" x14ac:dyDescent="0.45"/>
    <row r="551" ht="0.75" customHeight="1" x14ac:dyDescent="0.45"/>
    <row r="553" ht="0.75" customHeight="1" x14ac:dyDescent="0.45"/>
    <row r="555" ht="0.75" customHeight="1" x14ac:dyDescent="0.45"/>
    <row r="557" ht="0.75" customHeight="1" x14ac:dyDescent="0.45"/>
    <row r="559" ht="0.75" customHeight="1" x14ac:dyDescent="0.45"/>
    <row r="561" ht="0.75" customHeight="1" x14ac:dyDescent="0.45"/>
    <row r="563" ht="0.75" customHeight="1" x14ac:dyDescent="0.45"/>
    <row r="565" ht="0.75" customHeight="1" x14ac:dyDescent="0.45"/>
    <row r="567" ht="0.75" customHeight="1" x14ac:dyDescent="0.45"/>
    <row r="569" ht="0.75" customHeight="1" x14ac:dyDescent="0.45"/>
    <row r="571" ht="0.75" customHeight="1" x14ac:dyDescent="0.45"/>
    <row r="573" ht="0.75" customHeight="1" x14ac:dyDescent="0.45"/>
    <row r="575" ht="0.75" customHeight="1" x14ac:dyDescent="0.45"/>
    <row r="577" ht="0.75" customHeight="1" x14ac:dyDescent="0.45"/>
    <row r="579" ht="0.75" customHeight="1" x14ac:dyDescent="0.45"/>
    <row r="581" ht="0.75" customHeight="1" x14ac:dyDescent="0.45"/>
    <row r="583" ht="0.75" customHeight="1" x14ac:dyDescent="0.45"/>
    <row r="585" ht="0.75" customHeight="1" x14ac:dyDescent="0.45"/>
    <row r="587" ht="0.75" customHeight="1" x14ac:dyDescent="0.45"/>
    <row r="589" ht="0.75" customHeight="1" x14ac:dyDescent="0.45"/>
    <row r="591" ht="0.75" customHeight="1" x14ac:dyDescent="0.45"/>
    <row r="593" ht="0.75" customHeight="1" x14ac:dyDescent="0.45"/>
    <row r="595" ht="0.75" customHeight="1" x14ac:dyDescent="0.45"/>
    <row r="597" ht="0.75" customHeight="1" x14ac:dyDescent="0.45"/>
    <row r="599" ht="0.75" customHeight="1" x14ac:dyDescent="0.45"/>
    <row r="601" ht="0.75" customHeight="1" x14ac:dyDescent="0.45"/>
    <row r="603" ht="0.75" customHeight="1" x14ac:dyDescent="0.45"/>
    <row r="605" ht="0.75" customHeight="1" x14ac:dyDescent="0.45"/>
    <row r="607" ht="0.75" customHeight="1" x14ac:dyDescent="0.45"/>
    <row r="609" ht="0.75" customHeight="1" x14ac:dyDescent="0.45"/>
    <row r="611" ht="0.75" customHeight="1" x14ac:dyDescent="0.45"/>
    <row r="613" ht="0.75" customHeight="1" x14ac:dyDescent="0.45"/>
    <row r="615" ht="0.75" customHeight="1" x14ac:dyDescent="0.45"/>
    <row r="617" ht="0.75" customHeight="1" x14ac:dyDescent="0.45"/>
    <row r="619" ht="0.75" customHeight="1" x14ac:dyDescent="0.45"/>
    <row r="621" ht="0.75" customHeight="1" x14ac:dyDescent="0.45"/>
  </sheetData>
  <mergeCells count="28">
    <mergeCell ref="AE6:AG6"/>
    <mergeCell ref="AH6:AJ6"/>
    <mergeCell ref="AK6:AM6"/>
    <mergeCell ref="AN6:AP6"/>
    <mergeCell ref="AQ6:AS6"/>
    <mergeCell ref="AT6:AV6"/>
    <mergeCell ref="AQ5:AS5"/>
    <mergeCell ref="AT5:AV5"/>
    <mergeCell ref="G6:I6"/>
    <mergeCell ref="J6:L6"/>
    <mergeCell ref="M6:O6"/>
    <mergeCell ref="P6:R6"/>
    <mergeCell ref="S6:U6"/>
    <mergeCell ref="V6:X6"/>
    <mergeCell ref="Y6:AA6"/>
    <mergeCell ref="AB6:AD6"/>
    <mergeCell ref="Y5:AA5"/>
    <mergeCell ref="AB5:AD5"/>
    <mergeCell ref="AE5:AG5"/>
    <mergeCell ref="AH5:AJ5"/>
    <mergeCell ref="AK5:AM5"/>
    <mergeCell ref="AN5:AP5"/>
    <mergeCell ref="G5:I5"/>
    <mergeCell ref="J5:L5"/>
    <mergeCell ref="M5:O5"/>
    <mergeCell ref="P5:R5"/>
    <mergeCell ref="S5:U5"/>
    <mergeCell ref="V5:X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25" x14ac:dyDescent="0.45"/>
  <cols>
    <col min="1" max="1" width="12.46484375" bestFit="1" customWidth="1"/>
    <col min="2" max="2" width="38" bestFit="1" customWidth="1"/>
  </cols>
  <sheetData>
    <row r="1" spans="1:2" x14ac:dyDescent="0.45">
      <c r="A1" t="s">
        <v>20</v>
      </c>
      <c r="B1" t="s">
        <v>84</v>
      </c>
    </row>
    <row r="2" spans="1:2" x14ac:dyDescent="0.45">
      <c r="A2" t="s">
        <v>90</v>
      </c>
      <c r="B2" t="s">
        <v>107</v>
      </c>
    </row>
    <row r="3" spans="1:2" x14ac:dyDescent="0.45">
      <c r="A3" t="s">
        <v>21</v>
      </c>
      <c r="B3" t="s">
        <v>85</v>
      </c>
    </row>
    <row r="4" spans="1:2" x14ac:dyDescent="0.45">
      <c r="A4" t="s">
        <v>22</v>
      </c>
      <c r="B4" t="s">
        <v>86</v>
      </c>
    </row>
    <row r="5" spans="1:2" x14ac:dyDescent="0.45">
      <c r="A5" t="s">
        <v>87</v>
      </c>
      <c r="B5" t="s">
        <v>88</v>
      </c>
    </row>
    <row r="6" spans="1:2" x14ac:dyDescent="0.4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25" x14ac:dyDescent="0.45"/>
  <cols>
    <col min="1" max="1" width="27.265625" bestFit="1" customWidth="1"/>
    <col min="2" max="2" width="8.19921875" bestFit="1" customWidth="1"/>
    <col min="3" max="3" width="8.53125" bestFit="1" customWidth="1"/>
    <col min="4" max="4" width="11.53125" bestFit="1" customWidth="1"/>
    <col min="5" max="5" width="11.06640625" bestFit="1" customWidth="1"/>
  </cols>
  <sheetData>
    <row r="1" spans="1:5" x14ac:dyDescent="0.45">
      <c r="A1" t="s">
        <v>112</v>
      </c>
    </row>
    <row r="6" spans="1:5" ht="28.5" x14ac:dyDescent="0.85">
      <c r="A6" s="2" t="s">
        <v>23</v>
      </c>
    </row>
    <row r="7" spans="1:5" x14ac:dyDescent="0.4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4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4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4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4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4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4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4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4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4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4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4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4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4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4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4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4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4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4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4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4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4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4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4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4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85">
      <c r="A32" s="2" t="s">
        <v>24</v>
      </c>
    </row>
    <row r="33" spans="1:5" x14ac:dyDescent="0.4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9" t="str" cm="1">
        <f t="array" aca="1" ref="D33" ca="1">IFERROR(OFFSET(OFFSET(INDIRECT(A33 &amp; "_" &amp; B33),2, -1),-ROW(OFFSET(INDIRECT(A33 &amp; "_" &amp; B33),2, -1)) + 6,0),"")</f>
        <v/>
      </c>
      <c r="E33" s="3" t="str" cm="1">
        <f t="array" aca="1" ref="E33" ca="1">IFERROR(OFFSET(INDIRECT(A33 &amp; "_" &amp; B33),2, -1),"")</f>
        <v/>
      </c>
    </row>
    <row r="34" spans="1:5" x14ac:dyDescent="0.4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9" t="str" cm="1">
        <f t="array" aca="1" ref="D34" ca="1">IFERROR(OFFSET(OFFSET(INDIRECT(A34 &amp; "_" &amp; B34),2, -1),-ROW(OFFSET(INDIRECT(A34 &amp; "_" &amp; B34),2, -1)) + 6,0),"")</f>
        <v/>
      </c>
      <c r="E34" s="3" t="str" cm="1">
        <f t="array" aca="1" ref="E34" ca="1">IFERROR(OFFSET(INDIRECT(A34 &amp; "_" &amp; B34),2, -1),"")</f>
        <v/>
      </c>
    </row>
    <row r="35" spans="1:5" x14ac:dyDescent="0.4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9" t="str" cm="1">
        <f t="array" aca="1" ref="D35" ca="1">IFERROR(OFFSET(OFFSET(INDIRECT(A35 &amp; "_" &amp; B35),2, -1),-ROW(OFFSET(INDIRECT(A35 &amp; "_" &amp; B35),2, -1)) + 6,0),"")</f>
        <v/>
      </c>
      <c r="E35" s="3" t="str" cm="1">
        <f t="array" aca="1" ref="E35" ca="1">IFERROR(OFFSET(INDIRECT(A35 &amp; "_" &amp; B35),2, -1),"")</f>
        <v/>
      </c>
    </row>
    <row r="36" spans="1:5" x14ac:dyDescent="0.4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9" t="str" cm="1">
        <f t="array" aca="1" ref="D36" ca="1">IFERROR(OFFSET(OFFSET(INDIRECT(A36 &amp; "_" &amp; B36),2, -1),-ROW(OFFSET(INDIRECT(A36 &amp; "_" &amp; B36),2, -1)) + 6,0),"")</f>
        <v/>
      </c>
      <c r="E36" s="3" t="str" cm="1">
        <f t="array" aca="1" ref="E36" ca="1">IFERROR(OFFSET(INDIRECT(A36 &amp; "_" &amp; B36),2, -1),"")</f>
        <v/>
      </c>
    </row>
    <row r="37" spans="1:5" x14ac:dyDescent="0.4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9" t="str" cm="1">
        <f t="array" aca="1" ref="D37" ca="1">IFERROR(OFFSET(OFFSET(INDIRECT(A37 &amp; "_" &amp; B37),2, -1),-ROW(OFFSET(INDIRECT(A37 &amp; "_" &amp; B37),2, -1)) + 6,0),"")</f>
        <v/>
      </c>
      <c r="E37" s="3" t="str" cm="1">
        <f t="array" aca="1" ref="E37" ca="1">IFERROR(OFFSET(INDIRECT(A37 &amp; "_" &amp; B37),2, -1),"")</f>
        <v/>
      </c>
    </row>
    <row r="38" spans="1:5" x14ac:dyDescent="0.4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9" t="str" cm="1">
        <f t="array" aca="1" ref="D38" ca="1">IFERROR(OFFSET(OFFSET(INDIRECT(A38 &amp; "_" &amp; B38),2, -1),-ROW(OFFSET(INDIRECT(A38 &amp; "_" &amp; B38),2, -1)) + 6,0),"")</f>
        <v/>
      </c>
      <c r="E38" s="3" t="str" cm="1">
        <f t="array" aca="1" ref="E38" ca="1">IFERROR(OFFSET(INDIRECT(A38 &amp; "_" &amp; B38),2, -1),"")</f>
        <v/>
      </c>
    </row>
    <row r="39" spans="1:5" x14ac:dyDescent="0.4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9" t="str" cm="1">
        <f t="array" aca="1" ref="D39" ca="1">IFERROR(OFFSET(OFFSET(INDIRECT(A39 &amp; "_" &amp; B39),2, -1),-ROW(OFFSET(INDIRECT(A39 &amp; "_" &amp; B39),2, -1)) + 6,0),"")</f>
        <v/>
      </c>
      <c r="E39" s="3" t="str" cm="1">
        <f t="array" aca="1" ref="E39" ca="1">IFERROR(OFFSET(INDIRECT(A39 &amp; "_" &amp; B39),2, -1),"")</f>
        <v/>
      </c>
    </row>
    <row r="40" spans="1:5" x14ac:dyDescent="0.4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9" t="str" cm="1">
        <f t="array" aca="1" ref="D40" ca="1">IFERROR(OFFSET(OFFSET(INDIRECT(A40 &amp; "_" &amp; B40),2, -1),-ROW(OFFSET(INDIRECT(A40 &amp; "_" &amp; B40),2, -1)) + 6,0),"")</f>
        <v/>
      </c>
      <c r="E40" s="3" t="str" cm="1">
        <f t="array" aca="1" ref="E40" ca="1">IFERROR(OFFSET(INDIRECT(A40 &amp; "_" &amp; B40),2, -1),"")</f>
        <v/>
      </c>
    </row>
    <row r="41" spans="1:5" x14ac:dyDescent="0.4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9" t="str" cm="1">
        <f t="array" aca="1" ref="D41" ca="1">IFERROR(OFFSET(OFFSET(INDIRECT(A41 &amp; "_" &amp; B41),2, -1),-ROW(OFFSET(INDIRECT(A41 &amp; "_" &amp; B41),2, -1)) + 6,0),"")</f>
        <v/>
      </c>
      <c r="E41" s="3" t="str" cm="1">
        <f t="array" aca="1" ref="E41" ca="1">IFERROR(OFFSET(INDIRECT(A41 &amp; "_" &amp; B41),2, -1),"")</f>
        <v/>
      </c>
    </row>
    <row r="42" spans="1:5" x14ac:dyDescent="0.4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9" t="str" cm="1">
        <f t="array" aca="1" ref="D42" ca="1">IFERROR(OFFSET(OFFSET(INDIRECT(A42 &amp; "_" &amp; B42),2, -1),-ROW(OFFSET(INDIRECT(A42 &amp; "_" &amp; B42),2, -1)) + 6,0),"")</f>
        <v/>
      </c>
      <c r="E42" s="3" t="str" cm="1">
        <f t="array" aca="1" ref="E42" ca="1">IFERROR(OFFSET(INDIRECT(A42 &amp; "_" &amp; B42),2, -1),"")</f>
        <v/>
      </c>
    </row>
    <row r="43" spans="1:5" x14ac:dyDescent="0.4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9" t="str" cm="1">
        <f t="array" aca="1" ref="D43" ca="1">IFERROR(OFFSET(OFFSET(INDIRECT(A43 &amp; "_" &amp; B43),2, -1),-ROW(OFFSET(INDIRECT(A43 &amp; "_" &amp; B43),2, -1)) + 6,0),"")</f>
        <v/>
      </c>
      <c r="E43" s="3" t="str" cm="1">
        <f t="array" aca="1" ref="E43" ca="1">IFERROR(OFFSET(INDIRECT(A43 &amp; "_" &amp; B43),2, -1),"")</f>
        <v/>
      </c>
    </row>
    <row r="44" spans="1:5" x14ac:dyDescent="0.4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9" t="str" cm="1">
        <f t="array" aca="1" ref="D44" ca="1">IFERROR(OFFSET(OFFSET(INDIRECT(A44 &amp; "_" &amp; B44),2, -1),-ROW(OFFSET(INDIRECT(A44 &amp; "_" &amp; B44),2, -1)) + 6,0),"")</f>
        <v/>
      </c>
      <c r="E44" s="3" t="str" cm="1">
        <f t="array" aca="1" ref="E44" ca="1">IFERROR(OFFSET(INDIRECT(A44 &amp; "_" &amp; B44),2, -1),"")</f>
        <v/>
      </c>
    </row>
    <row r="45" spans="1:5" x14ac:dyDescent="0.4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9" t="str" cm="1">
        <f t="array" aca="1" ref="D45" ca="1">IFERROR(OFFSET(OFFSET(INDIRECT(A45 &amp; "_" &amp; B45),2, -1),-ROW(OFFSET(INDIRECT(A45 &amp; "_" &amp; B45),2, -1)) + 6,0),"")</f>
        <v/>
      </c>
      <c r="E45" s="3" t="str" cm="1">
        <f t="array" aca="1" ref="E45" ca="1">IFERROR(OFFSET(INDIRECT(A45 &amp; "_" &amp; B45),2, -1),"")</f>
        <v/>
      </c>
    </row>
    <row r="46" spans="1:5" x14ac:dyDescent="0.4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9" t="str" cm="1">
        <f t="array" aca="1" ref="D46" ca="1">IFERROR(OFFSET(OFFSET(INDIRECT(A46 &amp; "_" &amp; B46),2, -1),-ROW(OFFSET(INDIRECT(A46 &amp; "_" &amp; B46),2, -1)) + 6,0),"")</f>
        <v/>
      </c>
      <c r="E46" s="3" t="str" cm="1">
        <f t="array" aca="1" ref="E46" ca="1">IFERROR(OFFSET(INDIRECT(A46 &amp; "_" &amp; B46),2, -1),"")</f>
        <v/>
      </c>
    </row>
    <row r="47" spans="1:5" x14ac:dyDescent="0.4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9" t="str" cm="1">
        <f t="array" aca="1" ref="D47" ca="1">IFERROR(OFFSET(OFFSET(INDIRECT(A47 &amp; "_" &amp; B47),2, -1),-ROW(OFFSET(INDIRECT(A47 &amp; "_" &amp; B47),2, -1)) + 6,0),"")</f>
        <v/>
      </c>
      <c r="E47" s="3" t="str" cm="1">
        <f t="array" aca="1" ref="E47" ca="1">IFERROR(OFFSET(INDIRECT(A47 &amp; "_" &amp; B47),2, -1),"")</f>
        <v/>
      </c>
    </row>
    <row r="48" spans="1:5" x14ac:dyDescent="0.4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9" t="str" cm="1">
        <f t="array" aca="1" ref="D48" ca="1">IFERROR(OFFSET(OFFSET(INDIRECT(A48 &amp; "_" &amp; B48),2, -1),-ROW(OFFSET(INDIRECT(A48 &amp; "_" &amp; B48),2, -1)) + 6,0),"")</f>
        <v/>
      </c>
      <c r="E48" s="3" t="str" cm="1">
        <f t="array" aca="1" ref="E48" ca="1">IFERROR(OFFSET(INDIRECT(A48 &amp; "_" &amp; B48),2, -1),"")</f>
        <v/>
      </c>
    </row>
    <row r="49" spans="1:5" x14ac:dyDescent="0.4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9" t="str" cm="1">
        <f t="array" aca="1" ref="D49" ca="1">IFERROR(OFFSET(OFFSET(INDIRECT(A49 &amp; "_" &amp; B49),2, -1),-ROW(OFFSET(INDIRECT(A49 &amp; "_" &amp; B49),2, -1)) + 6,0),"")</f>
        <v/>
      </c>
      <c r="E49" s="3" t="str" cm="1">
        <f t="array" aca="1" ref="E49" ca="1">IFERROR(OFFSET(INDIRECT(A49 &amp; "_" &amp; B49),2, -1),"")</f>
        <v/>
      </c>
    </row>
    <row r="50" spans="1:5" x14ac:dyDescent="0.4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9" t="str" cm="1">
        <f t="array" aca="1" ref="D50" ca="1">IFERROR(OFFSET(OFFSET(INDIRECT(A50 &amp; "_" &amp; B50),2, -1),-ROW(OFFSET(INDIRECT(A50 &amp; "_" &amp; B50),2, -1)) + 6,0),"")</f>
        <v/>
      </c>
      <c r="E50" s="3" t="str" cm="1">
        <f t="array" aca="1" ref="E50" ca="1">IFERROR(OFFSET(INDIRECT(A50 &amp; "_" &amp; B50),2, -1),"")</f>
        <v/>
      </c>
    </row>
    <row r="51" spans="1:5" x14ac:dyDescent="0.4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9" t="str" cm="1">
        <f t="array" aca="1" ref="D51" ca="1">IFERROR(OFFSET(OFFSET(INDIRECT(A51 &amp; "_" &amp; B51),2, -1),-ROW(OFFSET(INDIRECT(A51 &amp; "_" &amp; B51),2, -1)) + 6,0),"")</f>
        <v/>
      </c>
      <c r="E51" s="3" t="str" cm="1">
        <f t="array" aca="1" ref="E51" ca="1">IFERROR(OFFSET(INDIRECT(A51 &amp; "_" &amp; B51),2, -1),"")</f>
        <v/>
      </c>
    </row>
    <row r="52" spans="1:5" x14ac:dyDescent="0.4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9" t="str" cm="1">
        <f t="array" aca="1" ref="D52" ca="1">IFERROR(OFFSET(OFFSET(INDIRECT(A52 &amp; "_" &amp; B52),2, -1),-ROW(OFFSET(INDIRECT(A52 &amp; "_" &amp; B52),2, -1)) + 6,0),"")</f>
        <v/>
      </c>
      <c r="E52" s="3" t="str" cm="1">
        <f t="array" aca="1" ref="E52" ca="1">IFERROR(OFFSET(INDIRECT(A52 &amp; "_" &amp; B52),2, -1),"")</f>
        <v/>
      </c>
    </row>
    <row r="53" spans="1:5" x14ac:dyDescent="0.4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9" t="str" cm="1">
        <f t="array" aca="1" ref="D53" ca="1">IFERROR(OFFSET(OFFSET(INDIRECT(A53 &amp; "_" &amp; B53),2, -1),-ROW(OFFSET(INDIRECT(A53 &amp; "_" &amp; B53),2, -1)) + 6,0),"")</f>
        <v/>
      </c>
      <c r="E53" s="3" t="str" cm="1">
        <f t="array" aca="1" ref="E53" ca="1">IFERROR(OFFSET(INDIRECT(A53 &amp; "_" &amp; B53),2, -1),"")</f>
        <v/>
      </c>
    </row>
    <row r="54" spans="1:5" x14ac:dyDescent="0.4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9" t="str" cm="1">
        <f t="array" aca="1" ref="D54" ca="1">IFERROR(OFFSET(OFFSET(INDIRECT(A54 &amp; "_" &amp; B54),2, -1),-ROW(OFFSET(INDIRECT(A54 &amp; "_" &amp; B54),2, -1)) + 6,0),"")</f>
        <v/>
      </c>
      <c r="E54" s="3" t="str" cm="1">
        <f t="array" aca="1" ref="E54" ca="1">IFERROR(OFFSET(INDIRECT(A54 &amp; "_" &amp; B54),2, -1),"")</f>
        <v/>
      </c>
    </row>
    <row r="55" spans="1:5" x14ac:dyDescent="0.4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9" t="str" cm="1">
        <f t="array" aca="1" ref="D55" ca="1">IFERROR(OFFSET(OFFSET(INDIRECT(A55 &amp; "_" &amp; B55),2, -1),-ROW(OFFSET(INDIRECT(A55 &amp; "_" &amp; B55),2, -1)) + 6,0),"")</f>
        <v/>
      </c>
      <c r="E55" s="3" t="str" cm="1">
        <f t="array" aca="1" ref="E55" ca="1">IFERROR(OFFSET(INDIRECT(A55 &amp; "_" &amp; B55),2, -1),"")</f>
        <v/>
      </c>
    </row>
    <row r="56" spans="1:5" x14ac:dyDescent="0.4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9" t="str" cm="1">
        <f t="array" aca="1" ref="D56" ca="1">IFERROR(OFFSET(OFFSET(INDIRECT(A56 &amp; "_" &amp; B56),2, -1),-ROW(OFFSET(INDIRECT(A56 &amp; "_" &amp; B56),2, -1)) + 6,0),"")</f>
        <v/>
      </c>
      <c r="E56" s="3" t="str" cm="1">
        <f t="array" aca="1" ref="E56" ca="1">IFERROR(OFFSET(INDIRECT(A56 &amp; "_" &amp; B56),2, -1),"")</f>
        <v/>
      </c>
    </row>
    <row r="57" spans="1:5" x14ac:dyDescent="0.4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9" t="str" cm="1">
        <f t="array" aca="1" ref="D57" ca="1">IFERROR(OFFSET(OFFSET(INDIRECT(A57 &amp; "_" &amp; B57),2, -1),-ROW(OFFSET(INDIRECT(A57 &amp; "_" &amp; B57),2, -1)) + 6,0),"")</f>
        <v/>
      </c>
      <c r="E57" s="3" t="str" cm="1">
        <f t="array" aca="1" ref="E57" ca="1">IFERROR(OFFSET(INDIRECT(A57 &amp; "_" &amp; B57),2, -1),"")</f>
        <v/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tabSelected="1" topLeftCell="A203" workbookViewId="0">
      <selection activeCell="N214" sqref="N214"/>
    </sheetView>
  </sheetViews>
  <sheetFormatPr defaultRowHeight="14.25" x14ac:dyDescent="0.45"/>
  <cols>
    <col min="1" max="1" width="11.19921875" bestFit="1" customWidth="1"/>
    <col min="3" max="3" width="9" customWidth="1"/>
    <col min="7" max="7" width="16.46484375" bestFit="1" customWidth="1"/>
    <col min="8" max="8" width="19.73046875" bestFit="1" customWidth="1"/>
  </cols>
  <sheetData>
    <row r="2" spans="1:8" x14ac:dyDescent="0.45">
      <c r="B2" t="s">
        <v>135</v>
      </c>
    </row>
    <row r="3" spans="1:8" x14ac:dyDescent="0.4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4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4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4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45">
      <c r="A8" t="s">
        <v>125</v>
      </c>
      <c r="B8">
        <f>MAX(B4:B6)</f>
        <v>3</v>
      </c>
    </row>
    <row r="9" spans="1:8" x14ac:dyDescent="0.4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4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4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45">
      <c r="B14" t="s">
        <v>136</v>
      </c>
    </row>
    <row r="15" spans="1:8" x14ac:dyDescent="0.4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4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4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4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4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4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45">
      <c r="A22" t="s">
        <v>125</v>
      </c>
      <c r="B22">
        <f>MAX(B16:B20)</f>
        <v>5</v>
      </c>
    </row>
    <row r="23" spans="1:8" x14ac:dyDescent="0.4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4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4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45">
      <c r="B28" t="s">
        <v>113</v>
      </c>
    </row>
    <row r="29" spans="1:8" x14ac:dyDescent="0.4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4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4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4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4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4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4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4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45">
      <c r="A38" t="s">
        <v>125</v>
      </c>
      <c r="B38">
        <f>MAX(B30:B36)</f>
        <v>7</v>
      </c>
    </row>
    <row r="39" spans="1:8" x14ac:dyDescent="0.4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4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4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45">
      <c r="B44" t="s">
        <v>132</v>
      </c>
    </row>
    <row r="45" spans="1:8" x14ac:dyDescent="0.4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4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4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4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4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4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4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4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4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8">
        <f>COUNTIF(T5Bracket[[Winner]:[Loser]], "T" &amp; T5Bracket[[#This Row],[Game]])</f>
        <v>1</v>
      </c>
      <c r="H53" s="8">
        <f>COUNTIF(T5Bracket[[Winner]:[Loser]], "B" &amp; T5Bracket[[#This Row],[Game]])</f>
        <v>1</v>
      </c>
    </row>
    <row r="54" spans="1:8" x14ac:dyDescent="0.4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8">
        <f>COUNTIF(T5Bracket[[Winner]:[Loser]], "T" &amp; T5Bracket[[#This Row],[Game]])</f>
        <v>1</v>
      </c>
      <c r="H54" s="8">
        <f>COUNTIF(T5Bracket[[Winner]:[Loser]], "B" &amp; T5Bracket[[#This Row],[Game]])</f>
        <v>1</v>
      </c>
    </row>
    <row r="55" spans="1:8" x14ac:dyDescent="0.45">
      <c r="G55" s="8"/>
      <c r="H55" s="8"/>
    </row>
    <row r="56" spans="1:8" x14ac:dyDescent="0.45">
      <c r="A56" t="s">
        <v>125</v>
      </c>
      <c r="B56">
        <f>MAX(B46:B54)</f>
        <v>9</v>
      </c>
    </row>
    <row r="57" spans="1:8" x14ac:dyDescent="0.4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4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4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45">
      <c r="B63" t="s">
        <v>139</v>
      </c>
    </row>
    <row r="64" spans="1:8" x14ac:dyDescent="0.4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4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4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4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4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4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4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4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4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8">
        <f>COUNTIF(T6Bracket[[Winner]:[Loser]], "T" &amp; T6Bracket[[#This Row],[Game]])</f>
        <v>1</v>
      </c>
      <c r="H72" s="8">
        <f>COUNTIF(T6Bracket[[Winner]:[Loser]], "B" &amp; T6Bracket[[#This Row],[Game]])</f>
        <v>1</v>
      </c>
    </row>
    <row r="73" spans="1:8" x14ac:dyDescent="0.4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8">
        <f>COUNTIF(T6Bracket[[Winner]:[Loser]], "T" &amp; T6Bracket[[#This Row],[Game]])</f>
        <v>1</v>
      </c>
      <c r="H73" s="8">
        <f>COUNTIF(T6Bracket[[Winner]:[Loser]], "B" &amp; T6Bracket[[#This Row],[Game]])</f>
        <v>1</v>
      </c>
    </row>
    <row r="74" spans="1:8" x14ac:dyDescent="0.4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8">
        <f>COUNTIF(T6Bracket[[Winner]:[Loser]], "T" &amp; T6Bracket[[#This Row],[Game]])</f>
        <v>1</v>
      </c>
      <c r="H74" s="8">
        <f>COUNTIF(T6Bracket[[Winner]:[Loser]], "B" &amp; T6Bracket[[#This Row],[Game]])</f>
        <v>1</v>
      </c>
    </row>
    <row r="75" spans="1:8" x14ac:dyDescent="0.4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8">
        <f>COUNTIF(T6Bracket[[Winner]:[Loser]], "T" &amp; T6Bracket[[#This Row],[Game]])</f>
        <v>1</v>
      </c>
      <c r="H75" s="8">
        <f>COUNTIF(T6Bracket[[Winner]:[Loser]], "B" &amp; T6Bracket[[#This Row],[Game]])</f>
        <v>1</v>
      </c>
    </row>
    <row r="77" spans="1:8" x14ac:dyDescent="0.45">
      <c r="A77" t="s">
        <v>125</v>
      </c>
      <c r="B77">
        <f>MAX(B65:B75)</f>
        <v>11</v>
      </c>
    </row>
    <row r="78" spans="1:8" x14ac:dyDescent="0.4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4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4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45">
      <c r="B86" t="s">
        <v>142</v>
      </c>
    </row>
    <row r="87" spans="2:8" x14ac:dyDescent="0.4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4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4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4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4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4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4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4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4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8">
        <f>COUNTIF(T7Bracket[[Winner]:[Loser]], "T" &amp; T7Bracket[[#This Row],[Game]])</f>
        <v>1</v>
      </c>
      <c r="H95" s="8">
        <f>COUNTIF(T7Bracket[[Winner]:[Loser]], "B" &amp; T7Bracket[[#This Row],[Game]])</f>
        <v>1</v>
      </c>
    </row>
    <row r="96" spans="2:8" x14ac:dyDescent="0.4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8">
        <f>COUNTIF(T7Bracket[[Winner]:[Loser]], "T" &amp; T7Bracket[[#This Row],[Game]])</f>
        <v>1</v>
      </c>
      <c r="H96" s="8">
        <f>COUNTIF(T7Bracket[[Winner]:[Loser]], "B" &amp; T7Bracket[[#This Row],[Game]])</f>
        <v>1</v>
      </c>
    </row>
    <row r="97" spans="1:8" x14ac:dyDescent="0.4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8">
        <f>COUNTIF(T7Bracket[[Winner]:[Loser]], "T" &amp; T7Bracket[[#This Row],[Game]])</f>
        <v>1</v>
      </c>
      <c r="H97" s="8">
        <f>COUNTIF(T7Bracket[[Winner]:[Loser]], "B" &amp; T7Bracket[[#This Row],[Game]])</f>
        <v>1</v>
      </c>
    </row>
    <row r="98" spans="1:8" x14ac:dyDescent="0.4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8">
        <f>COUNTIF(T7Bracket[[Winner]:[Loser]], "T" &amp; T7Bracket[[#This Row],[Game]])</f>
        <v>1</v>
      </c>
      <c r="H98" s="8">
        <f>COUNTIF(T7Bracket[[Winner]:[Loser]], "B" &amp; T7Bracket[[#This Row],[Game]])</f>
        <v>1</v>
      </c>
    </row>
    <row r="99" spans="1:8" x14ac:dyDescent="0.4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8">
        <f>COUNTIF(T7Bracket[[Winner]:[Loser]], "T" &amp; T7Bracket[[#This Row],[Game]])</f>
        <v>1</v>
      </c>
      <c r="H99" s="8">
        <f>COUNTIF(T7Bracket[[Winner]:[Loser]], "B" &amp; T7Bracket[[#This Row],[Game]])</f>
        <v>1</v>
      </c>
    </row>
    <row r="100" spans="1:8" x14ac:dyDescent="0.4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8">
        <f>COUNTIF(T7Bracket[[Winner]:[Loser]], "T" &amp; T7Bracket[[#This Row],[Game]])</f>
        <v>1</v>
      </c>
      <c r="H100" s="8">
        <f>COUNTIF(T7Bracket[[Winner]:[Loser]], "B" &amp; T7Bracket[[#This Row],[Game]])</f>
        <v>1</v>
      </c>
    </row>
    <row r="103" spans="1:8" x14ac:dyDescent="0.45">
      <c r="A103" t="s">
        <v>125</v>
      </c>
      <c r="B103">
        <f>MAX(B88:B100)</f>
        <v>13</v>
      </c>
    </row>
    <row r="104" spans="1:8" x14ac:dyDescent="0.4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4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4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45">
      <c r="B109" t="s">
        <v>146</v>
      </c>
    </row>
    <row r="110" spans="1:8" x14ac:dyDescent="0.4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4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4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4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4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4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4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4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4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8">
        <f>COUNTIF(T8Bracket[[Winner]:[Loser]], "T" &amp; T8Bracket[[#This Row],[Game]])</f>
        <v>1</v>
      </c>
      <c r="H118" s="8">
        <f>COUNTIF(T8Bracket[[Winner]:[Loser]], "B" &amp; T8Bracket[[#This Row],[Game]])</f>
        <v>1</v>
      </c>
    </row>
    <row r="119" spans="1:8" x14ac:dyDescent="0.4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8">
        <f>COUNTIF(T8Bracket[[Winner]:[Loser]], "T" &amp; T8Bracket[[#This Row],[Game]])</f>
        <v>1</v>
      </c>
      <c r="H119" s="8">
        <f>COUNTIF(T8Bracket[[Winner]:[Loser]], "B" &amp; T8Bracket[[#This Row],[Game]])</f>
        <v>1</v>
      </c>
    </row>
    <row r="120" spans="1:8" x14ac:dyDescent="0.4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8">
        <f>COUNTIF(T8Bracket[[Winner]:[Loser]], "T" &amp; T8Bracket[[#This Row],[Game]])</f>
        <v>1</v>
      </c>
      <c r="H120" s="8">
        <f>COUNTIF(T8Bracket[[Winner]:[Loser]], "B" &amp; T8Bracket[[#This Row],[Game]])</f>
        <v>1</v>
      </c>
    </row>
    <row r="121" spans="1:8" x14ac:dyDescent="0.4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8">
        <f>COUNTIF(T8Bracket[[Winner]:[Loser]], "T" &amp; T8Bracket[[#This Row],[Game]])</f>
        <v>1</v>
      </c>
      <c r="H121" s="8">
        <f>COUNTIF(T8Bracket[[Winner]:[Loser]], "B" &amp; T8Bracket[[#This Row],[Game]])</f>
        <v>1</v>
      </c>
    </row>
    <row r="122" spans="1:8" x14ac:dyDescent="0.4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8">
        <f>COUNTIF(T8Bracket[[Winner]:[Loser]], "T" &amp; T8Bracket[[#This Row],[Game]])</f>
        <v>1</v>
      </c>
      <c r="H122" s="8">
        <f>COUNTIF(T8Bracket[[Winner]:[Loser]], "B" &amp; T8Bracket[[#This Row],[Game]])</f>
        <v>1</v>
      </c>
    </row>
    <row r="123" spans="1:8" x14ac:dyDescent="0.4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8">
        <f>COUNTIF(T8Bracket[[Winner]:[Loser]], "T" &amp; T8Bracket[[#This Row],[Game]])</f>
        <v>1</v>
      </c>
      <c r="H123" s="8">
        <f>COUNTIF(T8Bracket[[Winner]:[Loser]], "B" &amp; T8Bracket[[#This Row],[Game]])</f>
        <v>1</v>
      </c>
    </row>
    <row r="124" spans="1:8" x14ac:dyDescent="0.4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8">
        <f>COUNTIF(T8Bracket[[Winner]:[Loser]], "T" &amp; T8Bracket[[#This Row],[Game]])</f>
        <v>1</v>
      </c>
      <c r="H124" s="8">
        <f>COUNTIF(T8Bracket[[Winner]:[Loser]], "B" &amp; T8Bracket[[#This Row],[Game]])</f>
        <v>1</v>
      </c>
    </row>
    <row r="125" spans="1:8" x14ac:dyDescent="0.4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8">
        <f>COUNTIF(T8Bracket[[Winner]:[Loser]], "T" &amp; T8Bracket[[#This Row],[Game]])</f>
        <v>1</v>
      </c>
      <c r="H125" s="8">
        <f>COUNTIF(T8Bracket[[Winner]:[Loser]], "B" &amp; T8Bracket[[#This Row],[Game]])</f>
        <v>1</v>
      </c>
    </row>
    <row r="127" spans="1:8" x14ac:dyDescent="0.45">
      <c r="A127" t="s">
        <v>125</v>
      </c>
      <c r="B127">
        <f>MAX(B111:B125)</f>
        <v>15</v>
      </c>
    </row>
    <row r="128" spans="1:8" x14ac:dyDescent="0.4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4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4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45">
      <c r="B133" t="s">
        <v>152</v>
      </c>
    </row>
    <row r="134" spans="1:8" x14ac:dyDescent="0.4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4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4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4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4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4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4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4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4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8">
        <f>COUNTIF(T9Bracket[[Winner]:[Loser]], "T" &amp; T9Bracket[[#This Row],[Game]])</f>
        <v>1</v>
      </c>
      <c r="H142" s="8">
        <f>COUNTIF(T9Bracket[[Winner]:[Loser]], "B" &amp; T9Bracket[[#This Row],[Game]])</f>
        <v>1</v>
      </c>
    </row>
    <row r="143" spans="1:8" x14ac:dyDescent="0.4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8">
        <f>COUNTIF(T9Bracket[[Winner]:[Loser]], "T" &amp; T9Bracket[[#This Row],[Game]])</f>
        <v>1</v>
      </c>
      <c r="H143" s="8">
        <f>COUNTIF(T9Bracket[[Winner]:[Loser]], "B" &amp; T9Bracket[[#This Row],[Game]])</f>
        <v>1</v>
      </c>
    </row>
    <row r="144" spans="1:8" x14ac:dyDescent="0.4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8">
        <f>COUNTIF(T9Bracket[[Winner]:[Loser]], "T" &amp; T9Bracket[[#This Row],[Game]])</f>
        <v>1</v>
      </c>
      <c r="H144" s="8">
        <f>COUNTIF(T9Bracket[[Winner]:[Loser]], "B" &amp; T9Bracket[[#This Row],[Game]])</f>
        <v>1</v>
      </c>
    </row>
    <row r="145" spans="1:8" x14ac:dyDescent="0.4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8">
        <f>COUNTIF(T9Bracket[[Winner]:[Loser]], "T" &amp; T9Bracket[[#This Row],[Game]])</f>
        <v>1</v>
      </c>
      <c r="H145" s="8">
        <f>COUNTIF(T9Bracket[[Winner]:[Loser]], "B" &amp; T9Bracket[[#This Row],[Game]])</f>
        <v>1</v>
      </c>
    </row>
    <row r="146" spans="1:8" x14ac:dyDescent="0.4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8">
        <f>COUNTIF(T9Bracket[[Winner]:[Loser]], "T" &amp; T9Bracket[[#This Row],[Game]])</f>
        <v>1</v>
      </c>
      <c r="H146" s="8">
        <f>COUNTIF(T9Bracket[[Winner]:[Loser]], "B" &amp; T9Bracket[[#This Row],[Game]])</f>
        <v>1</v>
      </c>
    </row>
    <row r="147" spans="1:8" x14ac:dyDescent="0.4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8">
        <f>COUNTIF(T9Bracket[[Winner]:[Loser]], "T" &amp; T9Bracket[[#This Row],[Game]])</f>
        <v>1</v>
      </c>
      <c r="H147" s="8">
        <f>COUNTIF(T9Bracket[[Winner]:[Loser]], "B" &amp; T9Bracket[[#This Row],[Game]])</f>
        <v>1</v>
      </c>
    </row>
    <row r="148" spans="1:8" x14ac:dyDescent="0.4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8">
        <f>COUNTIF(T9Bracket[[Winner]:[Loser]], "T" &amp; T9Bracket[[#This Row],[Game]])</f>
        <v>1</v>
      </c>
      <c r="H148" s="8">
        <f>COUNTIF(T9Bracket[[Winner]:[Loser]], "B" &amp; T9Bracket[[#This Row],[Game]])</f>
        <v>1</v>
      </c>
    </row>
    <row r="149" spans="1:8" x14ac:dyDescent="0.4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8">
        <f>COUNTIF(T9Bracket[[Winner]:[Loser]], "T" &amp; T9Bracket[[#This Row],[Game]])</f>
        <v>1</v>
      </c>
      <c r="H149" s="8">
        <f>COUNTIF(T9Bracket[[Winner]:[Loser]], "B" &amp; T9Bracket[[#This Row],[Game]])</f>
        <v>1</v>
      </c>
    </row>
    <row r="150" spans="1:8" x14ac:dyDescent="0.4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8">
        <f>COUNTIF(T9Bracket[[Winner]:[Loser]], "T" &amp; T9Bracket[[#This Row],[Game]])</f>
        <v>1</v>
      </c>
      <c r="H150" s="8">
        <f>COUNTIF(T9Bracket[[Winner]:[Loser]], "B" &amp; T9Bracket[[#This Row],[Game]])</f>
        <v>1</v>
      </c>
    </row>
    <row r="151" spans="1:8" x14ac:dyDescent="0.4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8">
        <f>COUNTIF(T9Bracket[[Winner]:[Loser]], "T" &amp; T9Bracket[[#This Row],[Game]])</f>
        <v>1</v>
      </c>
      <c r="H151" s="8">
        <f>COUNTIF(T9Bracket[[Winner]:[Loser]], "B" &amp; T9Bracket[[#This Row],[Game]])</f>
        <v>1</v>
      </c>
    </row>
    <row r="153" spans="1:8" x14ac:dyDescent="0.45">
      <c r="A153" t="s">
        <v>125</v>
      </c>
      <c r="B153">
        <f>MAX(B135:B151)</f>
        <v>17</v>
      </c>
    </row>
    <row r="154" spans="1:8" x14ac:dyDescent="0.4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4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4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45">
      <c r="B158" t="s">
        <v>157</v>
      </c>
    </row>
    <row r="159" spans="1:8" x14ac:dyDescent="0.4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4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4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4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4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4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4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4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4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8">
        <f>COUNTIF(T10Bracket[[Winner]:[Loser]], "T" &amp; T10Bracket[[#This Row],[Game]])</f>
        <v>1</v>
      </c>
      <c r="H167" s="8">
        <f>COUNTIF(T10Bracket[[Winner]:[Loser]], "B" &amp; T10Bracket[[#This Row],[Game]])</f>
        <v>1</v>
      </c>
    </row>
    <row r="168" spans="2:8" x14ac:dyDescent="0.4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8">
        <f>COUNTIF(T10Bracket[[Winner]:[Loser]], "T" &amp; T10Bracket[[#This Row],[Game]])</f>
        <v>1</v>
      </c>
      <c r="H168" s="8">
        <f>COUNTIF(T10Bracket[[Winner]:[Loser]], "B" &amp; T10Bracket[[#This Row],[Game]])</f>
        <v>1</v>
      </c>
    </row>
    <row r="169" spans="2:8" x14ac:dyDescent="0.4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8">
        <f>COUNTIF(T10Bracket[[Winner]:[Loser]], "T" &amp; T10Bracket[[#This Row],[Game]])</f>
        <v>1</v>
      </c>
      <c r="H169" s="8">
        <f>COUNTIF(T10Bracket[[Winner]:[Loser]], "B" &amp; T10Bracket[[#This Row],[Game]])</f>
        <v>1</v>
      </c>
    </row>
    <row r="170" spans="2:8" x14ac:dyDescent="0.4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8">
        <f>COUNTIF(T10Bracket[[Winner]:[Loser]], "T" &amp; T10Bracket[[#This Row],[Game]])</f>
        <v>1</v>
      </c>
      <c r="H170" s="8">
        <f>COUNTIF(T10Bracket[[Winner]:[Loser]], "B" &amp; T10Bracket[[#This Row],[Game]])</f>
        <v>1</v>
      </c>
    </row>
    <row r="171" spans="2:8" x14ac:dyDescent="0.4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8">
        <f>COUNTIF(T10Bracket[[Winner]:[Loser]], "T" &amp; T10Bracket[[#This Row],[Game]])</f>
        <v>1</v>
      </c>
      <c r="H171" s="8">
        <f>COUNTIF(T10Bracket[[Winner]:[Loser]], "B" &amp; T10Bracket[[#This Row],[Game]])</f>
        <v>1</v>
      </c>
    </row>
    <row r="172" spans="2:8" x14ac:dyDescent="0.4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8">
        <f>COUNTIF(T10Bracket[[Winner]:[Loser]], "T" &amp; T10Bracket[[#This Row],[Game]])</f>
        <v>1</v>
      </c>
      <c r="H172" s="8">
        <f>COUNTIF(T10Bracket[[Winner]:[Loser]], "B" &amp; T10Bracket[[#This Row],[Game]])</f>
        <v>1</v>
      </c>
    </row>
    <row r="173" spans="2:8" x14ac:dyDescent="0.4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8">
        <f>COUNTIF(T10Bracket[[Winner]:[Loser]], "T" &amp; T10Bracket[[#This Row],[Game]])</f>
        <v>1</v>
      </c>
      <c r="H173" s="8">
        <f>COUNTIF(T10Bracket[[Winner]:[Loser]], "B" &amp; T10Bracket[[#This Row],[Game]])</f>
        <v>1</v>
      </c>
    </row>
    <row r="174" spans="2:8" x14ac:dyDescent="0.4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8">
        <f>COUNTIF(T10Bracket[[Winner]:[Loser]], "T" &amp; T10Bracket[[#This Row],[Game]])</f>
        <v>1</v>
      </c>
      <c r="H174" s="8">
        <f>COUNTIF(T10Bracket[[Winner]:[Loser]], "B" &amp; T10Bracket[[#This Row],[Game]])</f>
        <v>1</v>
      </c>
    </row>
    <row r="175" spans="2:8" x14ac:dyDescent="0.4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8">
        <f>COUNTIF(T10Bracket[[Winner]:[Loser]], "T" &amp; T10Bracket[[#This Row],[Game]])</f>
        <v>1</v>
      </c>
      <c r="H175" s="8">
        <f>COUNTIF(T10Bracket[[Winner]:[Loser]], "B" &amp; T10Bracket[[#This Row],[Game]])</f>
        <v>1</v>
      </c>
    </row>
    <row r="176" spans="2:8" x14ac:dyDescent="0.4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8">
        <f>COUNTIF(T10Bracket[[Winner]:[Loser]], "T" &amp; T10Bracket[[#This Row],[Game]])</f>
        <v>1</v>
      </c>
      <c r="H176" s="8">
        <f>COUNTIF(T10Bracket[[Winner]:[Loser]], "B" &amp; T10Bracket[[#This Row],[Game]])</f>
        <v>1</v>
      </c>
    </row>
    <row r="177" spans="1:8" x14ac:dyDescent="0.4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8">
        <f>COUNTIF(T10Bracket[[Winner]:[Loser]], "T" &amp; T10Bracket[[#This Row],[Game]])</f>
        <v>1</v>
      </c>
      <c r="H177" s="8">
        <f>COUNTIF(T10Bracket[[Winner]:[Loser]], "B" &amp; T10Bracket[[#This Row],[Game]])</f>
        <v>1</v>
      </c>
    </row>
    <row r="178" spans="1:8" x14ac:dyDescent="0.4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8">
        <f>COUNTIF(T10Bracket[[Winner]:[Loser]], "T" &amp; T10Bracket[[#This Row],[Game]])</f>
        <v>1</v>
      </c>
      <c r="H178" s="8">
        <f>COUNTIF(T10Bracket[[Winner]:[Loser]], "B" &amp; T10Bracket[[#This Row],[Game]])</f>
        <v>1</v>
      </c>
    </row>
    <row r="180" spans="1:8" x14ac:dyDescent="0.45">
      <c r="A180" t="s">
        <v>125</v>
      </c>
      <c r="B180">
        <f>MAX(B160:B178)</f>
        <v>19</v>
      </c>
    </row>
    <row r="181" spans="1:8" x14ac:dyDescent="0.4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4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4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45">
      <c r="B185" t="s">
        <v>162</v>
      </c>
    </row>
    <row r="186" spans="1:8" x14ac:dyDescent="0.4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4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4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4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4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4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4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4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4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8">
        <f>COUNTIF(T11Bracket[[Winner]:[Loser]], "T" &amp; T11Bracket[[#This Row],[Game]])</f>
        <v>1</v>
      </c>
      <c r="H194" s="8">
        <f>COUNTIF(T11Bracket[[Winner]:[Loser]], "B" &amp; T11Bracket[[#This Row],[Game]])</f>
        <v>1</v>
      </c>
    </row>
    <row r="195" spans="2:8" x14ac:dyDescent="0.4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8">
        <f>COUNTIF(T11Bracket[[Winner]:[Loser]], "T" &amp; T11Bracket[[#This Row],[Game]])</f>
        <v>1</v>
      </c>
      <c r="H195" s="8">
        <f>COUNTIF(T11Bracket[[Winner]:[Loser]], "B" &amp; T11Bracket[[#This Row],[Game]])</f>
        <v>1</v>
      </c>
    </row>
    <row r="196" spans="2:8" x14ac:dyDescent="0.4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8">
        <f>COUNTIF(T11Bracket[[Winner]:[Loser]], "T" &amp; T11Bracket[[#This Row],[Game]])</f>
        <v>1</v>
      </c>
      <c r="H196" s="8">
        <f>COUNTIF(T11Bracket[[Winner]:[Loser]], "B" &amp; T11Bracket[[#This Row],[Game]])</f>
        <v>1</v>
      </c>
    </row>
    <row r="197" spans="2:8" x14ac:dyDescent="0.4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8">
        <f>COUNTIF(T11Bracket[[Winner]:[Loser]], "T" &amp; T11Bracket[[#This Row],[Game]])</f>
        <v>1</v>
      </c>
      <c r="H197" s="8">
        <f>COUNTIF(T11Bracket[[Winner]:[Loser]], "B" &amp; T11Bracket[[#This Row],[Game]])</f>
        <v>1</v>
      </c>
    </row>
    <row r="198" spans="2:8" x14ac:dyDescent="0.4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8">
        <f>COUNTIF(T11Bracket[[Winner]:[Loser]], "T" &amp; T11Bracket[[#This Row],[Game]])</f>
        <v>1</v>
      </c>
      <c r="H198" s="8">
        <f>COUNTIF(T11Bracket[[Winner]:[Loser]], "B" &amp; T11Bracket[[#This Row],[Game]])</f>
        <v>1</v>
      </c>
    </row>
    <row r="199" spans="2:8" x14ac:dyDescent="0.4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8">
        <f>COUNTIF(T11Bracket[[Winner]:[Loser]], "T" &amp; T11Bracket[[#This Row],[Game]])</f>
        <v>1</v>
      </c>
      <c r="H199" s="8">
        <f>COUNTIF(T11Bracket[[Winner]:[Loser]], "B" &amp; T11Bracket[[#This Row],[Game]])</f>
        <v>1</v>
      </c>
    </row>
    <row r="200" spans="2:8" x14ac:dyDescent="0.4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8">
        <f>COUNTIF(T11Bracket[[Winner]:[Loser]], "T" &amp; T11Bracket[[#This Row],[Game]])</f>
        <v>1</v>
      </c>
      <c r="H200" s="8">
        <f>COUNTIF(T11Bracket[[Winner]:[Loser]], "B" &amp; T11Bracket[[#This Row],[Game]])</f>
        <v>1</v>
      </c>
    </row>
    <row r="201" spans="2:8" x14ac:dyDescent="0.4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8">
        <f>COUNTIF(T11Bracket[[Winner]:[Loser]], "T" &amp; T11Bracket[[#This Row],[Game]])</f>
        <v>1</v>
      </c>
      <c r="H201" s="8">
        <f>COUNTIF(T11Bracket[[Winner]:[Loser]], "B" &amp; T11Bracket[[#This Row],[Game]])</f>
        <v>1</v>
      </c>
    </row>
    <row r="202" spans="2:8" x14ac:dyDescent="0.4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8">
        <f>COUNTIF(T11Bracket[[Winner]:[Loser]], "T" &amp; T11Bracket[[#This Row],[Game]])</f>
        <v>1</v>
      </c>
      <c r="H202" s="8">
        <f>COUNTIF(T11Bracket[[Winner]:[Loser]], "B" &amp; T11Bracket[[#This Row],[Game]])</f>
        <v>1</v>
      </c>
    </row>
    <row r="203" spans="2:8" x14ac:dyDescent="0.4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8">
        <f>COUNTIF(T11Bracket[[Winner]:[Loser]], "T" &amp; T11Bracket[[#This Row],[Game]])</f>
        <v>1</v>
      </c>
      <c r="H203" s="8">
        <f>COUNTIF(T11Bracket[[Winner]:[Loser]], "B" &amp; T11Bracket[[#This Row],[Game]])</f>
        <v>1</v>
      </c>
    </row>
    <row r="204" spans="2:8" x14ac:dyDescent="0.4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8">
        <f>COUNTIF(T11Bracket[[Winner]:[Loser]], "T" &amp; T11Bracket[[#This Row],[Game]])</f>
        <v>1</v>
      </c>
      <c r="H204" s="8">
        <f>COUNTIF(T11Bracket[[Winner]:[Loser]], "B" &amp; T11Bracket[[#This Row],[Game]])</f>
        <v>1</v>
      </c>
    </row>
    <row r="205" spans="2:8" x14ac:dyDescent="0.4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8">
        <f>COUNTIF(T11Bracket[[Winner]:[Loser]], "T" &amp; T11Bracket[[#This Row],[Game]])</f>
        <v>1</v>
      </c>
      <c r="H205" s="8">
        <f>COUNTIF(T11Bracket[[Winner]:[Loser]], "B" &amp; T11Bracket[[#This Row],[Game]])</f>
        <v>1</v>
      </c>
    </row>
    <row r="206" spans="2:8" x14ac:dyDescent="0.4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8">
        <f>COUNTIF(T11Bracket[[Winner]:[Loser]], "T" &amp; T11Bracket[[#This Row],[Game]])</f>
        <v>1</v>
      </c>
      <c r="H206" s="8">
        <f>COUNTIF(T11Bracket[[Winner]:[Loser]], "B" &amp; T11Bracket[[#This Row],[Game]])</f>
        <v>1</v>
      </c>
    </row>
    <row r="207" spans="2:8" x14ac:dyDescent="0.4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8">
        <f>COUNTIF(T11Bracket[[Winner]:[Loser]], "T" &amp; T11Bracket[[#This Row],[Game]])</f>
        <v>1</v>
      </c>
      <c r="H207" s="8">
        <f>COUNTIF(T11Bracket[[Winner]:[Loser]], "B" &amp; T11Bracket[[#This Row],[Game]])</f>
        <v>1</v>
      </c>
    </row>
    <row r="209" spans="1:8" x14ac:dyDescent="0.45">
      <c r="A209" t="s">
        <v>125</v>
      </c>
      <c r="B209">
        <f>MAX(B187:B207)</f>
        <v>21</v>
      </c>
    </row>
    <row r="210" spans="1:8" x14ac:dyDescent="0.4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4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4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45">
      <c r="B214" t="s">
        <v>167</v>
      </c>
    </row>
    <row r="215" spans="1:8" x14ac:dyDescent="0.4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4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4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4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4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4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4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4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4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8">
        <f>COUNTIF(T12Bracket[[Winner]:[Loser]], "T" &amp; T12Bracket[[#This Row],[Game]])</f>
        <v>1</v>
      </c>
      <c r="H223" s="8">
        <f>COUNTIF(T12Bracket[[Winner]:[Loser]], "B" &amp; T12Bracket[[#This Row],[Game]])</f>
        <v>0</v>
      </c>
    </row>
    <row r="224" spans="1:8" x14ac:dyDescent="0.4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8">
        <f>COUNTIF(T12Bracket[[Winner]:[Loser]], "T" &amp; T12Bracket[[#This Row],[Game]])</f>
        <v>1</v>
      </c>
      <c r="H224" s="8">
        <f>COUNTIF(T12Bracket[[Winner]:[Loser]], "B" &amp; T12Bracket[[#This Row],[Game]])</f>
        <v>1</v>
      </c>
    </row>
    <row r="225" spans="1:8" x14ac:dyDescent="0.4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8">
        <f>COUNTIF(T12Bracket[[Winner]:[Loser]], "T" &amp; T12Bracket[[#This Row],[Game]])</f>
        <v>1</v>
      </c>
      <c r="H225" s="8">
        <f>COUNTIF(T12Bracket[[Winner]:[Loser]], "B" &amp; T12Bracket[[#This Row],[Game]])</f>
        <v>1</v>
      </c>
    </row>
    <row r="226" spans="1:8" x14ac:dyDescent="0.4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8">
        <f>COUNTIF(T12Bracket[[Winner]:[Loser]], "T" &amp; T12Bracket[[#This Row],[Game]])</f>
        <v>1</v>
      </c>
      <c r="H226" s="8">
        <f>COUNTIF(T12Bracket[[Winner]:[Loser]], "B" &amp; T12Bracket[[#This Row],[Game]])</f>
        <v>1</v>
      </c>
    </row>
    <row r="227" spans="1:8" x14ac:dyDescent="0.4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8">
        <f>COUNTIF(T12Bracket[[Winner]:[Loser]], "T" &amp; T12Bracket[[#This Row],[Game]])</f>
        <v>1</v>
      </c>
      <c r="H227" s="8">
        <f>COUNTIF(T12Bracket[[Winner]:[Loser]], "B" &amp; T12Bracket[[#This Row],[Game]])</f>
        <v>1</v>
      </c>
    </row>
    <row r="228" spans="1:8" x14ac:dyDescent="0.4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8">
        <f>COUNTIF(T12Bracket[[Winner]:[Loser]], "T" &amp; T12Bracket[[#This Row],[Game]])</f>
        <v>1</v>
      </c>
      <c r="H228" s="8">
        <f>COUNTIF(T12Bracket[[Winner]:[Loser]], "B" &amp; T12Bracket[[#This Row],[Game]])</f>
        <v>1</v>
      </c>
    </row>
    <row r="229" spans="1:8" x14ac:dyDescent="0.4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8">
        <f>COUNTIF(T12Bracket[[Winner]:[Loser]], "T" &amp; T12Bracket[[#This Row],[Game]])</f>
        <v>1</v>
      </c>
      <c r="H229" s="8">
        <f>COUNTIF(T12Bracket[[Winner]:[Loser]], "B" &amp; T12Bracket[[#This Row],[Game]])</f>
        <v>1</v>
      </c>
    </row>
    <row r="230" spans="1:8" x14ac:dyDescent="0.4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8">
        <f>COUNTIF(T12Bracket[[Winner]:[Loser]], "T" &amp; T12Bracket[[#This Row],[Game]])</f>
        <v>1</v>
      </c>
      <c r="H230" s="8">
        <f>COUNTIF(T12Bracket[[Winner]:[Loser]], "B" &amp; T12Bracket[[#This Row],[Game]])</f>
        <v>1</v>
      </c>
    </row>
    <row r="231" spans="1:8" x14ac:dyDescent="0.4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8">
        <f>COUNTIF(T12Bracket[[Winner]:[Loser]], "T" &amp; T12Bracket[[#This Row],[Game]])</f>
        <v>1</v>
      </c>
      <c r="H231" s="8">
        <f>COUNTIF(T12Bracket[[Winner]:[Loser]], "B" &amp; T12Bracket[[#This Row],[Game]])</f>
        <v>1</v>
      </c>
    </row>
    <row r="232" spans="1:8" x14ac:dyDescent="0.4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8">
        <f>COUNTIF(T12Bracket[[Winner]:[Loser]], "T" &amp; T12Bracket[[#This Row],[Game]])</f>
        <v>1</v>
      </c>
      <c r="H232" s="8">
        <f>COUNTIF(T12Bracket[[Winner]:[Loser]], "B" &amp; T12Bracket[[#This Row],[Game]])</f>
        <v>1</v>
      </c>
    </row>
    <row r="233" spans="1:8" x14ac:dyDescent="0.4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8">
        <f>COUNTIF(T12Bracket[[Winner]:[Loser]], "T" &amp; T12Bracket[[#This Row],[Game]])</f>
        <v>1</v>
      </c>
      <c r="H233" s="8">
        <f>COUNTIF(T12Bracket[[Winner]:[Loser]], "B" &amp; T12Bracket[[#This Row],[Game]])</f>
        <v>1</v>
      </c>
    </row>
    <row r="234" spans="1:8" x14ac:dyDescent="0.4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8">
        <f>COUNTIF(T12Bracket[[Winner]:[Loser]], "T" &amp; T12Bracket[[#This Row],[Game]])</f>
        <v>1</v>
      </c>
      <c r="H234" s="8">
        <f>COUNTIF(T12Bracket[[Winner]:[Loser]], "B" &amp; T12Bracket[[#This Row],[Game]])</f>
        <v>1</v>
      </c>
    </row>
    <row r="235" spans="1:8" x14ac:dyDescent="0.4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8">
        <f>COUNTIF(T12Bracket[[Winner]:[Loser]], "T" &amp; T12Bracket[[#This Row],[Game]])</f>
        <v>1</v>
      </c>
      <c r="H235" s="8">
        <f>COUNTIF(T12Bracket[[Winner]:[Loser]], "B" &amp; T12Bracket[[#This Row],[Game]])</f>
        <v>1</v>
      </c>
    </row>
    <row r="236" spans="1:8" x14ac:dyDescent="0.4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8">
        <f>COUNTIF(T12Bracket[[Winner]:[Loser]], "T" &amp; T12Bracket[[#This Row],[Game]])</f>
        <v>1</v>
      </c>
      <c r="H236" s="8">
        <f>COUNTIF(T12Bracket[[Winner]:[Loser]], "B" &amp; T12Bracket[[#This Row],[Game]])</f>
        <v>1</v>
      </c>
    </row>
    <row r="237" spans="1:8" x14ac:dyDescent="0.4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8">
        <f>COUNTIF(T12Bracket[[Winner]:[Loser]], "T" &amp; T12Bracket[[#This Row],[Game]])</f>
        <v>1</v>
      </c>
      <c r="H237" s="8">
        <f>COUNTIF(T12Bracket[[Winner]:[Loser]], "B" &amp; T12Bracket[[#This Row],[Game]])</f>
        <v>1</v>
      </c>
    </row>
    <row r="238" spans="1:8" x14ac:dyDescent="0.4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8">
        <f>COUNTIF(T12Bracket[[Winner]:[Loser]], "T" &amp; T12Bracket[[#This Row],[Game]])</f>
        <v>1</v>
      </c>
      <c r="H238" s="8">
        <f>COUNTIF(T12Bracket[[Winner]:[Loser]], "B" &amp; T12Bracket[[#This Row],[Game]])</f>
        <v>1</v>
      </c>
    </row>
    <row r="240" spans="1:8" x14ac:dyDescent="0.45">
      <c r="A240" t="s">
        <v>125</v>
      </c>
      <c r="B240">
        <f>MAX(B216:B238)</f>
        <v>23</v>
      </c>
    </row>
    <row r="241" spans="1:8" x14ac:dyDescent="0.4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4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4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45">
      <c r="B245" t="s">
        <v>171</v>
      </c>
    </row>
    <row r="246" spans="1:8" x14ac:dyDescent="0.4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4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4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4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4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4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4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4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4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8">
        <f>COUNTIF(T13Bracket[[Winner]:[Loser]], "T" &amp; T13Bracket[[#This Row],[Game]])</f>
        <v>1</v>
      </c>
      <c r="H254" s="8">
        <f>COUNTIF(T13Bracket[[Winner]:[Loser]], "B" &amp; T13Bracket[[#This Row],[Game]])</f>
        <v>1</v>
      </c>
    </row>
    <row r="255" spans="1:8" x14ac:dyDescent="0.4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8">
        <f>COUNTIF(T13Bracket[[Winner]:[Loser]], "T" &amp; T13Bracket[[#This Row],[Game]])</f>
        <v>1</v>
      </c>
      <c r="H255" s="8">
        <f>COUNTIF(T13Bracket[[Winner]:[Loser]], "B" &amp; T13Bracket[[#This Row],[Game]])</f>
        <v>0</v>
      </c>
    </row>
    <row r="256" spans="1:8" x14ac:dyDescent="0.4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8">
        <f>COUNTIF(T13Bracket[[Winner]:[Loser]], "T" &amp; T13Bracket[[#This Row],[Game]])</f>
        <v>1</v>
      </c>
      <c r="H256" s="8">
        <f>COUNTIF(T13Bracket[[Winner]:[Loser]], "B" &amp; T13Bracket[[#This Row],[Game]])</f>
        <v>1</v>
      </c>
    </row>
    <row r="257" spans="2:8" x14ac:dyDescent="0.4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8">
        <f>COUNTIF(T13Bracket[[Winner]:[Loser]], "T" &amp; T13Bracket[[#This Row],[Game]])</f>
        <v>1</v>
      </c>
      <c r="H257" s="8">
        <f>COUNTIF(T13Bracket[[Winner]:[Loser]], "B" &amp; T13Bracket[[#This Row],[Game]])</f>
        <v>1</v>
      </c>
    </row>
    <row r="258" spans="2:8" x14ac:dyDescent="0.4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8">
        <f>COUNTIF(T13Bracket[[Winner]:[Loser]], "T" &amp; T13Bracket[[#This Row],[Game]])</f>
        <v>1</v>
      </c>
      <c r="H258" s="8">
        <f>COUNTIF(T13Bracket[[Winner]:[Loser]], "B" &amp; T13Bracket[[#This Row],[Game]])</f>
        <v>1</v>
      </c>
    </row>
    <row r="259" spans="2:8" x14ac:dyDescent="0.4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8">
        <f>COUNTIF(T13Bracket[[Winner]:[Loser]], "T" &amp; T13Bracket[[#This Row],[Game]])</f>
        <v>1</v>
      </c>
      <c r="H259" s="8">
        <f>COUNTIF(T13Bracket[[Winner]:[Loser]], "B" &amp; T13Bracket[[#This Row],[Game]])</f>
        <v>1</v>
      </c>
    </row>
    <row r="260" spans="2:8" x14ac:dyDescent="0.4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8">
        <f>COUNTIF(T13Bracket[[Winner]:[Loser]], "T" &amp; T13Bracket[[#This Row],[Game]])</f>
        <v>1</v>
      </c>
      <c r="H260" s="8">
        <f>COUNTIF(T13Bracket[[Winner]:[Loser]], "B" &amp; T13Bracket[[#This Row],[Game]])</f>
        <v>1</v>
      </c>
    </row>
    <row r="261" spans="2:8" x14ac:dyDescent="0.4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8">
        <f>COUNTIF(T13Bracket[[Winner]:[Loser]], "T" &amp; T13Bracket[[#This Row],[Game]])</f>
        <v>1</v>
      </c>
      <c r="H261" s="8">
        <f>COUNTIF(T13Bracket[[Winner]:[Loser]], "B" &amp; T13Bracket[[#This Row],[Game]])</f>
        <v>1</v>
      </c>
    </row>
    <row r="262" spans="2:8" x14ac:dyDescent="0.4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8">
        <f>COUNTIF(T13Bracket[[Winner]:[Loser]], "T" &amp; T13Bracket[[#This Row],[Game]])</f>
        <v>1</v>
      </c>
      <c r="H262" s="8">
        <f>COUNTIF(T13Bracket[[Winner]:[Loser]], "B" &amp; T13Bracket[[#This Row],[Game]])</f>
        <v>1</v>
      </c>
    </row>
    <row r="263" spans="2:8" x14ac:dyDescent="0.4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8">
        <f>COUNTIF(T13Bracket[[Winner]:[Loser]], "T" &amp; T13Bracket[[#This Row],[Game]])</f>
        <v>1</v>
      </c>
      <c r="H263" s="8">
        <f>COUNTIF(T13Bracket[[Winner]:[Loser]], "B" &amp; T13Bracket[[#This Row],[Game]])</f>
        <v>1</v>
      </c>
    </row>
    <row r="264" spans="2:8" x14ac:dyDescent="0.4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8">
        <f>COUNTIF(T13Bracket[[Winner]:[Loser]], "T" &amp; T13Bracket[[#This Row],[Game]])</f>
        <v>1</v>
      </c>
      <c r="H264" s="8">
        <f>COUNTIF(T13Bracket[[Winner]:[Loser]], "B" &amp; T13Bracket[[#This Row],[Game]])</f>
        <v>1</v>
      </c>
    </row>
    <row r="265" spans="2:8" x14ac:dyDescent="0.4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8">
        <f>COUNTIF(T13Bracket[[Winner]:[Loser]], "T" &amp; T13Bracket[[#This Row],[Game]])</f>
        <v>1</v>
      </c>
      <c r="H265" s="8">
        <f>COUNTIF(T13Bracket[[Winner]:[Loser]], "B" &amp; T13Bracket[[#This Row],[Game]])</f>
        <v>1</v>
      </c>
    </row>
    <row r="266" spans="2:8" x14ac:dyDescent="0.4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8">
        <f>COUNTIF(T13Bracket[[Winner]:[Loser]], "T" &amp; T13Bracket[[#This Row],[Game]])</f>
        <v>1</v>
      </c>
      <c r="H266" s="8">
        <f>COUNTIF(T13Bracket[[Winner]:[Loser]], "B" &amp; T13Bracket[[#This Row],[Game]])</f>
        <v>1</v>
      </c>
    </row>
    <row r="267" spans="2:8" x14ac:dyDescent="0.4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8">
        <f>COUNTIF(T13Bracket[[Winner]:[Loser]], "T" &amp; T13Bracket[[#This Row],[Game]])</f>
        <v>1</v>
      </c>
      <c r="H267" s="8">
        <f>COUNTIF(T13Bracket[[Winner]:[Loser]], "B" &amp; T13Bracket[[#This Row],[Game]])</f>
        <v>1</v>
      </c>
    </row>
    <row r="268" spans="2:8" x14ac:dyDescent="0.4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8">
        <f>COUNTIF(T13Bracket[[Winner]:[Loser]], "T" &amp; T13Bracket[[#This Row],[Game]])</f>
        <v>1</v>
      </c>
      <c r="H268" s="8">
        <f>COUNTIF(T13Bracket[[Winner]:[Loser]], "B" &amp; T13Bracket[[#This Row],[Game]])</f>
        <v>1</v>
      </c>
    </row>
    <row r="269" spans="2:8" x14ac:dyDescent="0.4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8">
        <f>COUNTIF(T13Bracket[[Winner]:[Loser]], "T" &amp; T13Bracket[[#This Row],[Game]])</f>
        <v>1</v>
      </c>
      <c r="H269" s="8">
        <f>COUNTIF(T13Bracket[[Winner]:[Loser]], "B" &amp; T13Bracket[[#This Row],[Game]])</f>
        <v>1</v>
      </c>
    </row>
    <row r="270" spans="2:8" x14ac:dyDescent="0.4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8">
        <f>COUNTIF(T13Bracket[[Winner]:[Loser]], "T" &amp; T13Bracket[[#This Row],[Game]])</f>
        <v>1</v>
      </c>
      <c r="H270" s="8">
        <f>COUNTIF(T13Bracket[[Winner]:[Loser]], "B" &amp; T13Bracket[[#This Row],[Game]])</f>
        <v>1</v>
      </c>
    </row>
    <row r="271" spans="2:8" x14ac:dyDescent="0.4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8">
        <f>COUNTIF(T13Bracket[[Winner]:[Loser]], "T" &amp; T13Bracket[[#This Row],[Game]])</f>
        <v>1</v>
      </c>
      <c r="H271" s="8">
        <f>COUNTIF(T13Bracket[[Winner]:[Loser]], "B" &amp; T13Bracket[[#This Row],[Game]])</f>
        <v>1</v>
      </c>
    </row>
    <row r="273" spans="1:8" x14ac:dyDescent="0.45">
      <c r="A273" t="s">
        <v>125</v>
      </c>
      <c r="B273">
        <f>MAX(B247:B271)</f>
        <v>25</v>
      </c>
    </row>
    <row r="274" spans="1:8" x14ac:dyDescent="0.4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4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4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45">
      <c r="B278" t="s">
        <v>176</v>
      </c>
    </row>
    <row r="279" spans="1:8" x14ac:dyDescent="0.4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4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4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4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4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4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4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4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4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8">
        <f>COUNTIF(T14Bracket[[Winner]:[Loser]], "T" &amp; T14Bracket[[#This Row],[Game]])</f>
        <v>1</v>
      </c>
      <c r="H287" s="8">
        <f>COUNTIF(T14Bracket[[Winner]:[Loser]], "B" &amp; T14Bracket[[#This Row],[Game]])</f>
        <v>1</v>
      </c>
    </row>
    <row r="288" spans="1:8" x14ac:dyDescent="0.4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8">
        <f>COUNTIF(T14Bracket[[Winner]:[Loser]], "T" &amp; T14Bracket[[#This Row],[Game]])</f>
        <v>1</v>
      </c>
      <c r="H288" s="8">
        <f>COUNTIF(T14Bracket[[Winner]:[Loser]], "B" &amp; T14Bracket[[#This Row],[Game]])</f>
        <v>1</v>
      </c>
    </row>
    <row r="289" spans="2:8" x14ac:dyDescent="0.4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8">
        <f>COUNTIF(T14Bracket[[Winner]:[Loser]], "T" &amp; T14Bracket[[#This Row],[Game]])</f>
        <v>1</v>
      </c>
      <c r="H289" s="8">
        <f>COUNTIF(T14Bracket[[Winner]:[Loser]], "B" &amp; T14Bracket[[#This Row],[Game]])</f>
        <v>0</v>
      </c>
    </row>
    <row r="290" spans="2:8" x14ac:dyDescent="0.4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8">
        <f>COUNTIF(T14Bracket[[Winner]:[Loser]], "T" &amp; T14Bracket[[#This Row],[Game]])</f>
        <v>1</v>
      </c>
      <c r="H290" s="8">
        <f>COUNTIF(T14Bracket[[Winner]:[Loser]], "B" &amp; T14Bracket[[#This Row],[Game]])</f>
        <v>1</v>
      </c>
    </row>
    <row r="291" spans="2:8" x14ac:dyDescent="0.4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8">
        <f>COUNTIF(T14Bracket[[Winner]:[Loser]], "T" &amp; T14Bracket[[#This Row],[Game]])</f>
        <v>1</v>
      </c>
      <c r="H291" s="8">
        <f>COUNTIF(T14Bracket[[Winner]:[Loser]], "B" &amp; T14Bracket[[#This Row],[Game]])</f>
        <v>1</v>
      </c>
    </row>
    <row r="292" spans="2:8" x14ac:dyDescent="0.4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8">
        <f>COUNTIF(T14Bracket[[Winner]:[Loser]], "T" &amp; T14Bracket[[#This Row],[Game]])</f>
        <v>1</v>
      </c>
      <c r="H292" s="8">
        <f>COUNTIF(T14Bracket[[Winner]:[Loser]], "B" &amp; T14Bracket[[#This Row],[Game]])</f>
        <v>1</v>
      </c>
    </row>
    <row r="293" spans="2:8" x14ac:dyDescent="0.4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8">
        <f>COUNTIF(T14Bracket[[Winner]:[Loser]], "T" &amp; T14Bracket[[#This Row],[Game]])</f>
        <v>1</v>
      </c>
      <c r="H293" s="8">
        <f>COUNTIF(T14Bracket[[Winner]:[Loser]], "B" &amp; T14Bracket[[#This Row],[Game]])</f>
        <v>1</v>
      </c>
    </row>
    <row r="294" spans="2:8" x14ac:dyDescent="0.4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8">
        <f>COUNTIF(T14Bracket[[Winner]:[Loser]], "T" &amp; T14Bracket[[#This Row],[Game]])</f>
        <v>1</v>
      </c>
      <c r="H294" s="8">
        <f>COUNTIF(T14Bracket[[Winner]:[Loser]], "B" &amp; T14Bracket[[#This Row],[Game]])</f>
        <v>1</v>
      </c>
    </row>
    <row r="295" spans="2:8" x14ac:dyDescent="0.4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8">
        <f>COUNTIF(T14Bracket[[Winner]:[Loser]], "T" &amp; T14Bracket[[#This Row],[Game]])</f>
        <v>1</v>
      </c>
      <c r="H295" s="8">
        <f>COUNTIF(T14Bracket[[Winner]:[Loser]], "B" &amp; T14Bracket[[#This Row],[Game]])</f>
        <v>1</v>
      </c>
    </row>
    <row r="296" spans="2:8" x14ac:dyDescent="0.4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8">
        <f>COUNTIF(T14Bracket[[Winner]:[Loser]], "T" &amp; T14Bracket[[#This Row],[Game]])</f>
        <v>1</v>
      </c>
      <c r="H296" s="8">
        <f>COUNTIF(T14Bracket[[Winner]:[Loser]], "B" &amp; T14Bracket[[#This Row],[Game]])</f>
        <v>1</v>
      </c>
    </row>
    <row r="297" spans="2:8" x14ac:dyDescent="0.4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8">
        <f>COUNTIF(T14Bracket[[Winner]:[Loser]], "T" &amp; T14Bracket[[#This Row],[Game]])</f>
        <v>1</v>
      </c>
      <c r="H297" s="8">
        <f>COUNTIF(T14Bracket[[Winner]:[Loser]], "B" &amp; T14Bracket[[#This Row],[Game]])</f>
        <v>1</v>
      </c>
    </row>
    <row r="298" spans="2:8" x14ac:dyDescent="0.4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8">
        <f>COUNTIF(T14Bracket[[Winner]:[Loser]], "T" &amp; T14Bracket[[#This Row],[Game]])</f>
        <v>1</v>
      </c>
      <c r="H298" s="8">
        <f>COUNTIF(T14Bracket[[Winner]:[Loser]], "B" &amp; T14Bracket[[#This Row],[Game]])</f>
        <v>1</v>
      </c>
    </row>
    <row r="299" spans="2:8" x14ac:dyDescent="0.4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8">
        <f>COUNTIF(T14Bracket[[Winner]:[Loser]], "T" &amp; T14Bracket[[#This Row],[Game]])</f>
        <v>1</v>
      </c>
      <c r="H299" s="8">
        <f>COUNTIF(T14Bracket[[Winner]:[Loser]], "B" &amp; T14Bracket[[#This Row],[Game]])</f>
        <v>1</v>
      </c>
    </row>
    <row r="300" spans="2:8" x14ac:dyDescent="0.4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8">
        <f>COUNTIF(T14Bracket[[Winner]:[Loser]], "T" &amp; T14Bracket[[#This Row],[Game]])</f>
        <v>1</v>
      </c>
      <c r="H300" s="8">
        <f>COUNTIF(T14Bracket[[Winner]:[Loser]], "B" &amp; T14Bracket[[#This Row],[Game]])</f>
        <v>1</v>
      </c>
    </row>
    <row r="301" spans="2:8" x14ac:dyDescent="0.4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8">
        <f>COUNTIF(T14Bracket[[Winner]:[Loser]], "T" &amp; T14Bracket[[#This Row],[Game]])</f>
        <v>1</v>
      </c>
      <c r="H301" s="8">
        <f>COUNTIF(T14Bracket[[Winner]:[Loser]], "B" &amp; T14Bracket[[#This Row],[Game]])</f>
        <v>1</v>
      </c>
    </row>
    <row r="302" spans="2:8" x14ac:dyDescent="0.4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8">
        <f>COUNTIF(T14Bracket[[Winner]:[Loser]], "T" &amp; T14Bracket[[#This Row],[Game]])</f>
        <v>1</v>
      </c>
      <c r="H302" s="8">
        <f>COUNTIF(T14Bracket[[Winner]:[Loser]], "B" &amp; T14Bracket[[#This Row],[Game]])</f>
        <v>1</v>
      </c>
    </row>
    <row r="303" spans="2:8" x14ac:dyDescent="0.4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8">
        <f>COUNTIF(T14Bracket[[Winner]:[Loser]], "T" &amp; T14Bracket[[#This Row],[Game]])</f>
        <v>1</v>
      </c>
      <c r="H303" s="8">
        <f>COUNTIF(T14Bracket[[Winner]:[Loser]], "B" &amp; T14Bracket[[#This Row],[Game]])</f>
        <v>1</v>
      </c>
    </row>
    <row r="304" spans="2:8" x14ac:dyDescent="0.4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8">
        <f>COUNTIF(T14Bracket[[Winner]:[Loser]], "T" &amp; T14Bracket[[#This Row],[Game]])</f>
        <v>1</v>
      </c>
      <c r="H304" s="8">
        <f>COUNTIF(T14Bracket[[Winner]:[Loser]], "B" &amp; T14Bracket[[#This Row],[Game]])</f>
        <v>1</v>
      </c>
    </row>
    <row r="305" spans="1:8" x14ac:dyDescent="0.4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8">
        <f>COUNTIF(T14Bracket[[Winner]:[Loser]], "T" &amp; T14Bracket[[#This Row],[Game]])</f>
        <v>1</v>
      </c>
      <c r="H305" s="8">
        <f>COUNTIF(T14Bracket[[Winner]:[Loser]], "B" &amp; T14Bracket[[#This Row],[Game]])</f>
        <v>1</v>
      </c>
    </row>
    <row r="306" spans="1:8" x14ac:dyDescent="0.4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8">
        <f>COUNTIF(T14Bracket[[Winner]:[Loser]], "T" &amp; T14Bracket[[#This Row],[Game]])</f>
        <v>1</v>
      </c>
      <c r="H306" s="8">
        <f>COUNTIF(T14Bracket[[Winner]:[Loser]], "B" &amp; T14Bracket[[#This Row],[Game]])</f>
        <v>1</v>
      </c>
    </row>
    <row r="308" spans="1:8" x14ac:dyDescent="0.45">
      <c r="A308" t="s">
        <v>125</v>
      </c>
      <c r="B308">
        <f>MAX(B280:B306)</f>
        <v>27</v>
      </c>
    </row>
    <row r="309" spans="1:8" x14ac:dyDescent="0.4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4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4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8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 Little</cp:lastModifiedBy>
  <cp:lastPrinted>2021-05-18T04:17:36Z</cp:lastPrinted>
  <dcterms:created xsi:type="dcterms:W3CDTF">2019-05-22T01:44:54Z</dcterms:created>
  <dcterms:modified xsi:type="dcterms:W3CDTF">2022-01-31T21:55:52Z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