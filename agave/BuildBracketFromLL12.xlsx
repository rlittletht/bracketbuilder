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active\bbld\agave\"/>
    </mc:Choice>
  </mc:AlternateContent>
  <xr:revisionPtr revIDLastSave="0" documentId="13_ncr:1_{6CFA3F11-6AB8-4DE3-A4C0-1198BA419E8E}" xr6:coauthVersionLast="47" xr6:coauthVersionMax="47" xr10:uidLastSave="{00000000-0000-0000-0000-000000000000}"/>
  <bookViews>
    <workbookView xWindow="7230" yWindow="1150" windowWidth="27730" windowHeight="19450" xr2:uid="{29734B7B-1933-4571-98DE-8ACA796B5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D40" i="1"/>
  <c r="D15" i="1"/>
  <c r="D16" i="1"/>
  <c r="E15" i="1"/>
  <c r="E16" i="1"/>
  <c r="J15" i="1"/>
  <c r="J16" i="1"/>
  <c r="E5" i="1"/>
  <c r="E6" i="1"/>
  <c r="E7" i="1"/>
  <c r="E8" i="1"/>
  <c r="E9" i="1"/>
  <c r="E10" i="1"/>
  <c r="E11" i="1"/>
  <c r="E12" i="1"/>
  <c r="E13" i="1"/>
  <c r="E14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D5" i="1"/>
  <c r="D6" i="1"/>
  <c r="D7" i="1"/>
  <c r="D8" i="1"/>
  <c r="D9" i="1"/>
  <c r="D10" i="1"/>
  <c r="D11" i="1"/>
  <c r="D12" i="1"/>
  <c r="D13" i="1"/>
  <c r="D14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J5" i="1"/>
  <c r="J6" i="1"/>
  <c r="J7" i="1"/>
  <c r="J8" i="1"/>
  <c r="J9" i="1"/>
  <c r="J10" i="1"/>
  <c r="J11" i="1"/>
  <c r="J12" i="1"/>
  <c r="J13" i="1"/>
  <c r="J14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K15" i="1" l="1"/>
  <c r="K16" i="1"/>
  <c r="K42" i="1"/>
  <c r="K24" i="1"/>
  <c r="K6" i="1"/>
  <c r="K14" i="1"/>
  <c r="K26" i="1"/>
  <c r="K25" i="1"/>
  <c r="K7" i="1"/>
  <c r="K5" i="1"/>
  <c r="K31" i="1"/>
  <c r="K45" i="1"/>
  <c r="K10" i="1"/>
  <c r="K43" i="1"/>
  <c r="K9" i="1"/>
  <c r="K41" i="1"/>
  <c r="K40" i="1"/>
  <c r="K27" i="1"/>
  <c r="K23" i="1"/>
  <c r="K19" i="1"/>
  <c r="K38" i="1"/>
  <c r="K32" i="1"/>
  <c r="K28" i="1"/>
  <c r="K11" i="1"/>
  <c r="K30" i="1"/>
  <c r="K35" i="1"/>
  <c r="K37" i="1"/>
  <c r="K34" i="1"/>
  <c r="K44" i="1"/>
  <c r="K22" i="1"/>
  <c r="K50" i="1"/>
  <c r="K18" i="1"/>
  <c r="K13" i="1"/>
  <c r="K46" i="1"/>
  <c r="K29" i="1"/>
  <c r="K49" i="1"/>
  <c r="K33" i="1"/>
  <c r="K17" i="1"/>
  <c r="K8" i="1"/>
  <c r="K12" i="1"/>
  <c r="K21" i="1"/>
  <c r="K39" i="1"/>
  <c r="K53" i="1"/>
  <c r="K52" i="1"/>
  <c r="K36" i="1"/>
  <c r="K51" i="1"/>
  <c r="K47" i="1"/>
  <c r="K20" i="1"/>
  <c r="K48" i="1"/>
</calcChain>
</file>

<file path=xl/sharedStrings.xml><?xml version="1.0" encoding="utf-8"?>
<sst xmlns="http://schemas.openxmlformats.org/spreadsheetml/2006/main" count="81" uniqueCount="68">
  <si>
    <t>Top</t>
  </si>
  <si>
    <t>Bottom</t>
  </si>
  <si>
    <t>LoserTo</t>
  </si>
  <si>
    <t>WinnerTo</t>
  </si>
  <si>
    <t>Column1</t>
  </si>
  <si>
    <t>Column2</t>
  </si>
  <si>
    <t>T1</t>
  </si>
  <si>
    <t>B1</t>
  </si>
  <si>
    <t>T2</t>
  </si>
  <si>
    <t>B2</t>
  </si>
  <si>
    <t>T3</t>
  </si>
  <si>
    <t>B3</t>
  </si>
  <si>
    <t>T4</t>
  </si>
  <si>
    <t>B4</t>
  </si>
  <si>
    <t>B5</t>
  </si>
  <si>
    <t>T6</t>
  </si>
  <si>
    <t>TopKey</t>
  </si>
  <si>
    <t>BottomKey</t>
  </si>
  <si>
    <t>E</t>
  </si>
  <si>
    <t>B</t>
  </si>
  <si>
    <t>D</t>
  </si>
  <si>
    <t>A</t>
  </si>
  <si>
    <t>C</t>
  </si>
  <si>
    <t>G</t>
  </si>
  <si>
    <t>F</t>
  </si>
  <si>
    <t>I</t>
  </si>
  <si>
    <t>H</t>
  </si>
  <si>
    <t>J</t>
  </si>
  <si>
    <t>T5</t>
  </si>
  <si>
    <t>B6</t>
  </si>
  <si>
    <t>B14</t>
  </si>
  <si>
    <t>T11</t>
  </si>
  <si>
    <t>B11</t>
  </si>
  <si>
    <t>B16</t>
  </si>
  <si>
    <t>T15</t>
  </si>
  <si>
    <t>B17</t>
  </si>
  <si>
    <t>B18</t>
  </si>
  <si>
    <t>T20</t>
  </si>
  <si>
    <t>LosertTo2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</si>
  <si>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</si>
  <si>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</si>
  <si>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</si>
  <si>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</si>
  <si>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</si>
  <si>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</si>
  <si>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</si>
  <si>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</si>
  <si>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</si>
  <si>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</si>
  <si>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B15</t>
  </si>
  <si>
    <t>T16</t>
  </si>
  <si>
    <t>T19</t>
  </si>
  <si>
    <t>Team 11</t>
  </si>
  <si>
    <t>Team 12</t>
  </si>
  <si>
    <t>T7</t>
  </si>
  <si>
    <t>B8</t>
  </si>
  <si>
    <t>B7</t>
  </si>
  <si>
    <t>T8</t>
  </si>
  <si>
    <t>T14</t>
  </si>
  <si>
    <t>B19</t>
  </si>
  <si>
    <t>B20</t>
  </si>
  <si>
    <t>T22</t>
  </si>
  <si>
    <t>B21</t>
  </si>
  <si>
    <t>B22</t>
  </si>
  <si>
    <t>K</t>
  </si>
  <si>
    <t>L</t>
  </si>
  <si>
    <t>T23</t>
  </si>
  <si>
    <t>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</si>
</sst>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EA4E5-B7DE-4EDF-813D-C3DE4748C45C}" name="Table1" displayName="Table1" ref="C4:K53" totalsRowShown="0">
  <autoFilter ref="C4:K53" xr:uid="{542EA4E5-B7DE-4EDF-813D-C3DE4748C45C}"/>
  <tableColumns count="9">
    <tableColumn id="1" xr3:uid="{4C0C5E91-6B0B-457C-BF5A-8C2123C33FD7}" name="Column1"/>
    <tableColumn id="2" xr3:uid="{6AA8BDCD-D53E-4506-BE05-B3345E7C3F8E}" name="Top" dataDxfId="3">
      <calculatedColumnFormula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calculatedColumnFormula>
    </tableColumn>
    <tableColumn id="3" xr3:uid="{EF3517F7-DD79-4584-A543-28CCCE216912}" name="Bottom" dataDxfId="2">
      <calculatedColumnFormula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calculatedColumnFormula>
    </tableColumn>
    <tableColumn id="7" xr3:uid="{8B8D9157-8324-4838-BBE7-C8AB483FAE15}" name="TopKey"/>
    <tableColumn id="6" xr3:uid="{8C2E9631-C8E0-44D4-9D42-D69AC27E056B}" name="BottomKey"/>
    <tableColumn id="4" xr3:uid="{B95FEAA5-1D4C-471C-A8DE-E35389E9ED63}" name="LoserTo"/>
    <tableColumn id="5" xr3:uid="{37CAB2FF-5E03-48B1-A330-777D8A7D280B}" name="WinnerTo"/>
    <tableColumn id="9" xr3:uid="{2395D99A-2056-4AC7-96EA-B5A0A551BFDF}" name="LosertTo2" dataDxfId="1">
      <calculatedColumnFormula>IFERROR(
IF(
ISERROR(MATCH(Table1[[#This Row],[LoserTo]],Table1[TopKey],0)),
    "B" &amp; INDEX(Table1[Column1], MATCH(Table1[[#This Row],[LoserTo]],Table1[BottomKey],0)),
    "T" &amp; INDEX(Table1[Column1], MATCH(Table1[[#This Row],[LoserTo]],Table1[TopKey],0))),"")</calculatedColumnFormula>
    </tableColumn>
    <tableColumn id="8" xr3:uid="{DA795720-B4C2-4FF8-BEC6-68EB57930E4A}" name="Column2" dataDxfId="0">
      <calculatedColumnFormula>"{ winner: """ &amp; Table1[[#This Row],[WinnerTo]] &amp; """, loser: """ &amp; Table1[[#This Row],[LosertTo2]] &amp; """, topSource: """ &amp; Table1[[#This Row],[Top]] &amp; """, bottomSource: """ &amp; Table1[[#This Row],[Bottom]] &amp; """ },"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693DC-8547-4432-B039-DC1A3BAC5ED7}">
  <dimension ref="C4:K53"/>
  <sheetViews>
    <sheetView tabSelected="1" topLeftCell="A7" workbookViewId="0">
      <selection activeCell="D17" sqref="D17:E40"/>
    </sheetView>
  </sheetViews>
  <sheetFormatPr defaultRowHeight="14.5" x14ac:dyDescent="0.35"/>
  <cols>
    <col min="3" max="3" width="10.453125" customWidth="1"/>
    <col min="5" max="5" width="8.81640625" customWidth="1"/>
    <col min="6" max="6" width="12.08984375" customWidth="1"/>
    <col min="7" max="7" width="11.90625" customWidth="1"/>
    <col min="8" max="8" width="9.1796875" customWidth="1"/>
    <col min="9" max="10" width="10.7265625" customWidth="1"/>
    <col min="11" max="11" width="89.453125" customWidth="1"/>
  </cols>
  <sheetData>
    <row r="4" spans="3:11" x14ac:dyDescent="0.35">
      <c r="C4" t="s">
        <v>4</v>
      </c>
      <c r="D4" t="s">
        <v>0</v>
      </c>
      <c r="E4" t="s">
        <v>1</v>
      </c>
      <c r="F4" t="s">
        <v>16</v>
      </c>
      <c r="G4" t="s">
        <v>17</v>
      </c>
      <c r="H4" t="s">
        <v>2</v>
      </c>
      <c r="I4" t="s">
        <v>3</v>
      </c>
      <c r="J4" t="s">
        <v>38</v>
      </c>
      <c r="K4" t="s">
        <v>5</v>
      </c>
    </row>
    <row r="5" spans="3:11" x14ac:dyDescent="0.35">
      <c r="C5" t="s">
        <v>39</v>
      </c>
      <c r="D5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5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I5" t="s">
        <v>6</v>
      </c>
      <c r="J5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5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"T1", loser: "", topSource: "", bottomSource: "" },</v>
      </c>
    </row>
    <row r="6" spans="3:11" x14ac:dyDescent="0.35">
      <c r="C6" t="s">
        <v>40</v>
      </c>
      <c r="D6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6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I6" t="s">
        <v>7</v>
      </c>
      <c r="J6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6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"B1", loser: "", topSource: "", bottomSource: "" },</v>
      </c>
    </row>
    <row r="7" spans="3:11" x14ac:dyDescent="0.35">
      <c r="C7" t="s">
        <v>41</v>
      </c>
      <c r="D7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7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I7" t="s">
        <v>8</v>
      </c>
      <c r="J7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7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"T2", loser: "", topSource: "", bottomSource: "" },</v>
      </c>
    </row>
    <row r="8" spans="3:11" x14ac:dyDescent="0.35">
      <c r="C8" t="s">
        <v>42</v>
      </c>
      <c r="D8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8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I8" t="s">
        <v>9</v>
      </c>
      <c r="J8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8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"B2", loser: "", topSource: "", bottomSource: "" },</v>
      </c>
    </row>
    <row r="9" spans="3:11" x14ac:dyDescent="0.35">
      <c r="C9" t="s">
        <v>43</v>
      </c>
      <c r="D9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9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I9" t="s">
        <v>10</v>
      </c>
      <c r="J9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9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"T3", loser: "", topSource: "", bottomSource: "" },</v>
      </c>
    </row>
    <row r="10" spans="3:11" x14ac:dyDescent="0.35">
      <c r="C10" t="s">
        <v>44</v>
      </c>
      <c r="D10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10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I10" t="s">
        <v>11</v>
      </c>
      <c r="J10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10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"B3", loser: "", topSource: "", bottomSource: "" },</v>
      </c>
    </row>
    <row r="11" spans="3:11" x14ac:dyDescent="0.35">
      <c r="C11" t="s">
        <v>45</v>
      </c>
      <c r="D11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11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I11" t="s">
        <v>12</v>
      </c>
      <c r="J11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11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"T4", loser: "", topSource: "", bottomSource: "" },</v>
      </c>
    </row>
    <row r="12" spans="3:11" x14ac:dyDescent="0.35">
      <c r="C12" t="s">
        <v>46</v>
      </c>
      <c r="D12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12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I12" t="s">
        <v>13</v>
      </c>
      <c r="J12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12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"B4", loser: "", topSource: "", bottomSource: "" },</v>
      </c>
    </row>
    <row r="13" spans="3:11" x14ac:dyDescent="0.35">
      <c r="C13" t="s">
        <v>47</v>
      </c>
      <c r="D13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13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I13" t="s">
        <v>28</v>
      </c>
      <c r="J13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13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"T5", loser: "", topSource: "", bottomSource: "" },</v>
      </c>
    </row>
    <row r="14" spans="3:11" x14ac:dyDescent="0.35">
      <c r="C14" t="s">
        <v>48</v>
      </c>
      <c r="D14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14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I14" t="s">
        <v>29</v>
      </c>
      <c r="J14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14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"B6", loser: "", topSource: "", bottomSource: "" },</v>
      </c>
    </row>
    <row r="15" spans="3:11" x14ac:dyDescent="0.35">
      <c r="C15" t="s">
        <v>52</v>
      </c>
      <c r="D15" s="1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15" s="1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I15" t="s">
        <v>54</v>
      </c>
      <c r="J15" s="1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15" s="1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"T7", loser: "", topSource: "", bottomSource: "" },</v>
      </c>
    </row>
    <row r="16" spans="3:11" x14ac:dyDescent="0.35">
      <c r="C16" t="s">
        <v>53</v>
      </c>
      <c r="D16" s="1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16" s="1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I16" t="s">
        <v>55</v>
      </c>
      <c r="J16" s="1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16" s="1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"B8", loser: "", topSource: "", bottomSource: "" },</v>
      </c>
    </row>
    <row r="17" spans="3:11" x14ac:dyDescent="0.35">
      <c r="C17">
        <v>1</v>
      </c>
      <c r="D17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Team 1</v>
      </c>
      <c r="E17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Team 2</v>
      </c>
      <c r="H17" t="s">
        <v>21</v>
      </c>
      <c r="I17" t="s">
        <v>14</v>
      </c>
      <c r="J17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>T9</v>
      </c>
      <c r="K17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"B5", loser: "T9", topSource: "Team 1", bottomSource: "Team 2" },</v>
      </c>
    </row>
    <row r="18" spans="3:11" x14ac:dyDescent="0.35">
      <c r="C18">
        <v>2</v>
      </c>
      <c r="D18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Team 3</v>
      </c>
      <c r="E18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Team 4</v>
      </c>
      <c r="H18" t="s">
        <v>19</v>
      </c>
      <c r="I18" t="s">
        <v>15</v>
      </c>
      <c r="J18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>B9</v>
      </c>
      <c r="K18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"T6", loser: "B9", topSource: "Team 3", bottomSource: "Team 4" },</v>
      </c>
    </row>
    <row r="19" spans="3:11" x14ac:dyDescent="0.35">
      <c r="C19">
        <v>3</v>
      </c>
      <c r="D19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Team 5</v>
      </c>
      <c r="E19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Team 6</v>
      </c>
      <c r="H19" t="s">
        <v>22</v>
      </c>
      <c r="I19" t="s">
        <v>56</v>
      </c>
      <c r="J19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>T10</v>
      </c>
      <c r="K19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"B7", loser: "T10", topSource: "Team 5", bottomSource: "Team 6" },</v>
      </c>
    </row>
    <row r="20" spans="3:11" x14ac:dyDescent="0.35">
      <c r="C20">
        <v>4</v>
      </c>
      <c r="D20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Team 7</v>
      </c>
      <c r="E20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Team 8</v>
      </c>
      <c r="H20" t="s">
        <v>20</v>
      </c>
      <c r="I20" t="s">
        <v>57</v>
      </c>
      <c r="J20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>B10</v>
      </c>
      <c r="K20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"T8", loser: "B10", topSource: "Team 7", bottomSource: "Team 8" },</v>
      </c>
    </row>
    <row r="21" spans="3:11" x14ac:dyDescent="0.35">
      <c r="C21">
        <v>5</v>
      </c>
      <c r="D21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Team 9</v>
      </c>
      <c r="E21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W1</v>
      </c>
      <c r="H21" t="s">
        <v>18</v>
      </c>
      <c r="I21" t="s">
        <v>58</v>
      </c>
      <c r="J21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>T12</v>
      </c>
      <c r="K21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"T14", loser: "T12", topSource: "Team 9", bottomSource: "W1" },</v>
      </c>
    </row>
    <row r="22" spans="3:11" x14ac:dyDescent="0.35">
      <c r="C22">
        <v>6</v>
      </c>
      <c r="D22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W2</v>
      </c>
      <c r="E22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Team 10</v>
      </c>
      <c r="H22" t="s">
        <v>24</v>
      </c>
      <c r="I22" t="s">
        <v>30</v>
      </c>
      <c r="J22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>B12</v>
      </c>
      <c r="K22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"B14", loser: "B12", topSource: "W2", bottomSource: "Team 10" },</v>
      </c>
    </row>
    <row r="23" spans="3:11" x14ac:dyDescent="0.35">
      <c r="C23">
        <v>7</v>
      </c>
      <c r="D23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Team 11</v>
      </c>
      <c r="E23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W3</v>
      </c>
      <c r="H23" t="s">
        <v>23</v>
      </c>
      <c r="I23" t="s">
        <v>34</v>
      </c>
      <c r="J23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>T13</v>
      </c>
      <c r="K23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"T15", loser: "T13", topSource: "Team 11", bottomSource: "W3" },</v>
      </c>
    </row>
    <row r="24" spans="3:11" x14ac:dyDescent="0.35">
      <c r="C24">
        <v>8</v>
      </c>
      <c r="D24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W4</v>
      </c>
      <c r="E24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Team 12</v>
      </c>
      <c r="H24" t="s">
        <v>26</v>
      </c>
      <c r="I24" t="s">
        <v>49</v>
      </c>
      <c r="J24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>B13</v>
      </c>
      <c r="K24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"B15", loser: "B13", topSource: "W4", bottomSource: "Team 12" },</v>
      </c>
    </row>
    <row r="25" spans="3:11" x14ac:dyDescent="0.35">
      <c r="C25">
        <v>9</v>
      </c>
      <c r="D25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L1</v>
      </c>
      <c r="E25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L2</v>
      </c>
      <c r="F25" t="s">
        <v>21</v>
      </c>
      <c r="G25" t="s">
        <v>19</v>
      </c>
      <c r="I25" t="s">
        <v>31</v>
      </c>
      <c r="J25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25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"T11", loser: "", topSource: "L1", bottomSource: "L2" },</v>
      </c>
    </row>
    <row r="26" spans="3:11" x14ac:dyDescent="0.35">
      <c r="C26">
        <v>10</v>
      </c>
      <c r="D26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L3</v>
      </c>
      <c r="E26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L4</v>
      </c>
      <c r="F26" t="s">
        <v>22</v>
      </c>
      <c r="G26" t="s">
        <v>20</v>
      </c>
      <c r="I26" t="s">
        <v>32</v>
      </c>
      <c r="J26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26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"B11", loser: "", topSource: "L3", bottomSource: "L4" },</v>
      </c>
    </row>
    <row r="27" spans="3:11" x14ac:dyDescent="0.35">
      <c r="C27">
        <v>11</v>
      </c>
      <c r="D27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W9</v>
      </c>
      <c r="E27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W10</v>
      </c>
      <c r="I27" t="s">
        <v>35</v>
      </c>
      <c r="J27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27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"B17", loser: "", topSource: "W9", bottomSource: "W10" },</v>
      </c>
    </row>
    <row r="28" spans="3:11" x14ac:dyDescent="0.35">
      <c r="C28">
        <v>12</v>
      </c>
      <c r="D28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L5</v>
      </c>
      <c r="E28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L6</v>
      </c>
      <c r="F28" t="s">
        <v>18</v>
      </c>
      <c r="G28" t="s">
        <v>24</v>
      </c>
      <c r="I28" t="s">
        <v>50</v>
      </c>
      <c r="J28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28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"T16", loser: "", topSource: "L5", bottomSource: "L6" },</v>
      </c>
    </row>
    <row r="29" spans="3:11" x14ac:dyDescent="0.35">
      <c r="C29">
        <v>13</v>
      </c>
      <c r="D29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L7</v>
      </c>
      <c r="E29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L8</v>
      </c>
      <c r="F29" t="s">
        <v>23</v>
      </c>
      <c r="G29" t="s">
        <v>26</v>
      </c>
      <c r="I29" t="s">
        <v>33</v>
      </c>
      <c r="J29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29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"B16", loser: "", topSource: "L7", bottomSource: "L8" },</v>
      </c>
    </row>
    <row r="30" spans="3:11" x14ac:dyDescent="0.35">
      <c r="C30">
        <v>14</v>
      </c>
      <c r="D30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W5</v>
      </c>
      <c r="E30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W6</v>
      </c>
      <c r="H30" t="s">
        <v>25</v>
      </c>
      <c r="I30" t="s">
        <v>51</v>
      </c>
      <c r="J30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>T18</v>
      </c>
      <c r="K30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"T19", loser: "T18", topSource: "W5", bottomSource: "W6" },</v>
      </c>
    </row>
    <row r="31" spans="3:11" x14ac:dyDescent="0.35">
      <c r="C31">
        <v>15</v>
      </c>
      <c r="D31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W7</v>
      </c>
      <c r="E31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W8</v>
      </c>
      <c r="H31" t="s">
        <v>27</v>
      </c>
      <c r="I31" t="s">
        <v>59</v>
      </c>
      <c r="J31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>T17</v>
      </c>
      <c r="K31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"B19", loser: "T17", topSource: "W7", bottomSource: "W8" },</v>
      </c>
    </row>
    <row r="32" spans="3:11" x14ac:dyDescent="0.35">
      <c r="C32">
        <v>16</v>
      </c>
      <c r="D32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W12</v>
      </c>
      <c r="E32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W13</v>
      </c>
      <c r="I32" t="s">
        <v>36</v>
      </c>
      <c r="J32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32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"B18", loser: "", topSource: "W12", bottomSource: "W13" },</v>
      </c>
    </row>
    <row r="33" spans="3:11" x14ac:dyDescent="0.35">
      <c r="C33">
        <v>17</v>
      </c>
      <c r="D33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L15</v>
      </c>
      <c r="E33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W11</v>
      </c>
      <c r="F33" t="s">
        <v>27</v>
      </c>
      <c r="I33" t="s">
        <v>37</v>
      </c>
      <c r="J33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33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"T20", loser: "", topSource: "L15", bottomSource: "W11" },</v>
      </c>
    </row>
    <row r="34" spans="3:11" x14ac:dyDescent="0.35">
      <c r="C34">
        <v>18</v>
      </c>
      <c r="D34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L14</v>
      </c>
      <c r="E34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W16</v>
      </c>
      <c r="F34" t="s">
        <v>25</v>
      </c>
      <c r="I34" t="s">
        <v>60</v>
      </c>
      <c r="J34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34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"B20", loser: "", topSource: "L14", bottomSource: "W16" },</v>
      </c>
    </row>
    <row r="35" spans="3:11" x14ac:dyDescent="0.35">
      <c r="C35">
        <v>19</v>
      </c>
      <c r="D35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W14</v>
      </c>
      <c r="E35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W15</v>
      </c>
      <c r="H35" t="s">
        <v>64</v>
      </c>
      <c r="I35" t="s">
        <v>61</v>
      </c>
      <c r="J35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>T21</v>
      </c>
      <c r="K35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"T22", loser: "T21", topSource: "W14", bottomSource: "W15" },</v>
      </c>
    </row>
    <row r="36" spans="3:11" x14ac:dyDescent="0.35">
      <c r="C36">
        <v>20</v>
      </c>
      <c r="D36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W17</v>
      </c>
      <c r="E36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W18</v>
      </c>
      <c r="I36" t="s">
        <v>62</v>
      </c>
      <c r="J36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36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"B21", loser: "", topSource: "W17", bottomSource: "W18" },</v>
      </c>
    </row>
    <row r="37" spans="3:11" x14ac:dyDescent="0.35">
      <c r="C37">
        <v>21</v>
      </c>
      <c r="D37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L19</v>
      </c>
      <c r="E37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W20</v>
      </c>
      <c r="F37" t="s">
        <v>64</v>
      </c>
      <c r="I37" t="s">
        <v>63</v>
      </c>
      <c r="J37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37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"B22", loser: "", topSource: "L19", bottomSource: "W20" },</v>
      </c>
    </row>
    <row r="38" spans="3:11" x14ac:dyDescent="0.35">
      <c r="C38">
        <v>22</v>
      </c>
      <c r="D38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W19</v>
      </c>
      <c r="E38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W21</v>
      </c>
      <c r="H38" t="s">
        <v>65</v>
      </c>
      <c r="I38" t="s">
        <v>66</v>
      </c>
      <c r="J38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>B23</v>
      </c>
      <c r="K38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"T23", loser: "B23", topSource: "W19", bottomSource: "W21" },</v>
      </c>
    </row>
    <row r="39" spans="3:11" x14ac:dyDescent="0.35">
      <c r="C39">
        <v>23</v>
      </c>
      <c r="D39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W22</v>
      </c>
      <c r="E39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>L22</v>
      </c>
      <c r="G39" t="s">
        <v>65</v>
      </c>
      <c r="H39" t="s">
        <v>65</v>
      </c>
      <c r="I39" t="s">
        <v>67</v>
      </c>
      <c r="J39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>B23</v>
      </c>
      <c r="K39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"T24", loser: "B23", topSource: "W22", bottomSource: "L22" },</v>
      </c>
    </row>
    <row r="40" spans="3:11" x14ac:dyDescent="0.35">
      <c r="C40">
        <v>24</v>
      </c>
      <c r="D40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>W23</v>
      </c>
      <c r="E40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J40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40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"", loser: "", topSource: "W23", bottomSource: "" },</v>
      </c>
    </row>
    <row r="41" spans="3:11" x14ac:dyDescent="0.35">
      <c r="C41">
        <v>25</v>
      </c>
      <c r="D41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41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J41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41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"", loser: "", topSource: "", bottomSource: "" },</v>
      </c>
    </row>
    <row r="42" spans="3:11" x14ac:dyDescent="0.35">
      <c r="C42">
        <v>26</v>
      </c>
      <c r="D42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42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J42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42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"", loser: "", topSource: "", bottomSource: "" },</v>
      </c>
    </row>
    <row r="43" spans="3:11" x14ac:dyDescent="0.35">
      <c r="C43">
        <v>27</v>
      </c>
      <c r="D43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43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J43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43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"", loser: "", topSource: "", bottomSource: "" },</v>
      </c>
    </row>
    <row r="44" spans="3:11" x14ac:dyDescent="0.35">
      <c r="C44">
        <v>28</v>
      </c>
      <c r="D44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44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J44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44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"", loser: "", topSource: "", bottomSource: "" },</v>
      </c>
    </row>
    <row r="45" spans="3:11" x14ac:dyDescent="0.35">
      <c r="C45">
        <v>29</v>
      </c>
      <c r="D45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45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J45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45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"", loser: "", topSource: "", bottomSource: "" },</v>
      </c>
    </row>
    <row r="46" spans="3:11" x14ac:dyDescent="0.35">
      <c r="C46">
        <v>30</v>
      </c>
      <c r="D46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46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J46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46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"", loser: "", topSource: "", bottomSource: "" },</v>
      </c>
    </row>
    <row r="47" spans="3:11" x14ac:dyDescent="0.35">
      <c r="C47">
        <v>31</v>
      </c>
      <c r="D47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47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J47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47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"", loser: "", topSource: "", bottomSource: "" },</v>
      </c>
    </row>
    <row r="48" spans="3:11" x14ac:dyDescent="0.35">
      <c r="C48">
        <v>32</v>
      </c>
      <c r="D48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48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J48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48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"", loser: "", topSource: "", bottomSource: "" },</v>
      </c>
    </row>
    <row r="49" spans="3:11" x14ac:dyDescent="0.35">
      <c r="C49">
        <v>33</v>
      </c>
      <c r="D49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49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J49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49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"", loser: "", topSource: "", bottomSource: "" },</v>
      </c>
    </row>
    <row r="50" spans="3:11" x14ac:dyDescent="0.35">
      <c r="C50">
        <v>34</v>
      </c>
      <c r="D50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50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J50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50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"", loser: "", topSource: "", bottomSource: "" },</v>
      </c>
    </row>
    <row r="51" spans="3:11" x14ac:dyDescent="0.35">
      <c r="C51">
        <v>35</v>
      </c>
      <c r="D51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51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J51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51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"", loser: "", topSource: "", bottomSource: "" },</v>
      </c>
    </row>
    <row r="52" spans="3:11" x14ac:dyDescent="0.35">
      <c r="C52">
        <v>36</v>
      </c>
      <c r="D52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52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J52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52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"", loser: "", topSource: "", bottomSource: "" },</v>
      </c>
    </row>
    <row r="53" spans="3:11" x14ac:dyDescent="0.35">
      <c r="C53">
        <v>37</v>
      </c>
      <c r="D53" t="str">
        <f>IFERROR(
IF(Table1[[#This Row],[TopKey]]&lt;&gt;"",
_xlfn.CONCAT("L",INDEX(Table1[Column1],MATCH(Table1[[#This Row],[TopKey]],Table1[LoserTo],0))),
IF(LEN( INDEX(Table1[Column1], MATCH(_xlfn.CONCAT("T",Table1[[#This Row],[Column1]]),Table1[WinnerTo],0)))&lt;4,"W" &amp;  INDEX(Table1[Column1], MATCH(_xlfn.CONCAT("T",Table1[[#This Row],[Column1]]),Table1[WinnerTo],0)),  INDEX(Table1[Column1], MATCH(_xlfn.CONCAT("T",Table1[[#This Row],[Column1]]),Table1[WinnerTo],0)))
),"")</f>
        <v/>
      </c>
      <c r="E53" t="str">
        <f>IFERROR(
IF(Table1[[#This Row],[BottomKey]]&lt;&gt;"",
_xlfn.CONCAT("L",INDEX(Table1[Column1],MATCH(Table1[[#This Row],[BottomKey]],Table1[LoserTo],0))),
IF(LEN(INDEX(Table1[Column1], MATCH(_xlfn.CONCAT("B",Table1[[#This Row],[Column1]]),Table1[WinnerTo],0)))&gt;4,INDEX(Table1[Column1], MATCH(_xlfn.CONCAT("B",Table1[[#This Row],[Column1]]),Table1[WinnerTo],0)),"W" &amp; INDEX(Table1[Column1], MATCH(_xlfn.CONCAT("B",Table1[[#This Row],[Column1]]),Table1[WinnerTo],0)))
),"")</f>
        <v/>
      </c>
      <c r="J53" t="str">
        <f>IFERROR(
IF(
ISERROR(MATCH(Table1[[#This Row],[LoserTo]],Table1[TopKey],0)),
    "B" &amp; INDEX(Table1[Column1], MATCH(Table1[[#This Row],[LoserTo]],Table1[BottomKey],0)),
    "T" &amp; INDEX(Table1[Column1], MATCH(Table1[[#This Row],[LoserTo]],Table1[TopKey],0))),"")</f>
        <v/>
      </c>
      <c r="K53" t="str">
        <f>"{ winner: """ &amp; Table1[[#This Row],[WinnerTo]] &amp; """, loser: """ &amp; Table1[[#This Row],[LosertTo2]] &amp; """, topSource: """ &amp; Table1[[#This Row],[Top]] &amp; """, bottomSource: """ &amp; Table1[[#This Row],[Bottom]] &amp; """ },"</f>
        <v>{ winner: "", loser: "", topSource: "", bottomSource: "" },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A. Little</dc:creator>
  <cp:lastModifiedBy>Rob Little</cp:lastModifiedBy>
  <dcterms:created xsi:type="dcterms:W3CDTF">2023-08-31T05:19:39Z</dcterms:created>
  <dcterms:modified xsi:type="dcterms:W3CDTF">2025-06-16T02:37:03Z</dcterms:modified>
</cp:coreProperties>
</file>